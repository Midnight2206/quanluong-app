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dni\OneDrive\Desktop\Làm việc\Template\"/>
    </mc:Choice>
  </mc:AlternateContent>
  <bookViews>
    <workbookView xWindow="0" yWindow="0" windowWidth="23040" windowHeight="9072"/>
  </bookViews>
  <sheets>
    <sheet name="cktc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1" i="1" l="1"/>
  <c r="P71" i="1"/>
  <c r="O71" i="1"/>
  <c r="N71" i="1"/>
  <c r="R71" i="1" s="1"/>
  <c r="L71" i="1"/>
  <c r="M71" i="1" s="1"/>
  <c r="K71" i="1"/>
  <c r="J71" i="1"/>
  <c r="I71" i="1"/>
  <c r="G71" i="1"/>
  <c r="F71" i="1"/>
  <c r="E71" i="1"/>
  <c r="D71" i="1"/>
  <c r="Q71" i="1" s="1"/>
  <c r="C71" i="1"/>
  <c r="B71" i="1"/>
  <c r="P70" i="1"/>
  <c r="N70" i="1"/>
  <c r="L70" i="1"/>
  <c r="M70" i="1" s="1"/>
  <c r="J70" i="1"/>
  <c r="I70" i="1"/>
  <c r="G70" i="1"/>
  <c r="K70" i="1" s="1"/>
  <c r="E70" i="1"/>
  <c r="D70" i="1"/>
  <c r="O70" i="1" s="1"/>
  <c r="C70" i="1"/>
  <c r="B70" i="1"/>
  <c r="P69" i="1"/>
  <c r="N69" i="1"/>
  <c r="R69" i="1" s="1"/>
  <c r="S69" i="1" s="1"/>
  <c r="L69" i="1"/>
  <c r="J69" i="1"/>
  <c r="I69" i="1"/>
  <c r="G69" i="1"/>
  <c r="E69" i="1"/>
  <c r="D69" i="1"/>
  <c r="C69" i="1"/>
  <c r="B69" i="1"/>
  <c r="R68" i="1"/>
  <c r="S68" i="1" s="1"/>
  <c r="P68" i="1"/>
  <c r="N68" i="1"/>
  <c r="O68" i="1" s="1"/>
  <c r="L68" i="1"/>
  <c r="M68" i="1" s="1"/>
  <c r="J68" i="1"/>
  <c r="K68" i="1" s="1"/>
  <c r="I68" i="1"/>
  <c r="G68" i="1"/>
  <c r="E68" i="1"/>
  <c r="F68" i="1" s="1"/>
  <c r="D68" i="1"/>
  <c r="Q68" i="1" s="1"/>
  <c r="C68" i="1"/>
  <c r="B68" i="1"/>
  <c r="P67" i="1"/>
  <c r="O67" i="1"/>
  <c r="N67" i="1"/>
  <c r="R67" i="1" s="1"/>
  <c r="S67" i="1" s="1"/>
  <c r="L67" i="1"/>
  <c r="M67" i="1" s="1"/>
  <c r="K67" i="1"/>
  <c r="J67" i="1"/>
  <c r="I67" i="1"/>
  <c r="G67" i="1"/>
  <c r="F67" i="1"/>
  <c r="E67" i="1"/>
  <c r="D67" i="1"/>
  <c r="Q67" i="1" s="1"/>
  <c r="C67" i="1"/>
  <c r="B67" i="1"/>
  <c r="P66" i="1"/>
  <c r="N66" i="1"/>
  <c r="L66" i="1"/>
  <c r="M66" i="1" s="1"/>
  <c r="J66" i="1"/>
  <c r="I66" i="1"/>
  <c r="G66" i="1"/>
  <c r="K66" i="1" s="1"/>
  <c r="E66" i="1"/>
  <c r="D66" i="1"/>
  <c r="O66" i="1" s="1"/>
  <c r="C66" i="1"/>
  <c r="B66" i="1"/>
  <c r="P65" i="1"/>
  <c r="N65" i="1"/>
  <c r="R65" i="1" s="1"/>
  <c r="S65" i="1" s="1"/>
  <c r="M65" i="1"/>
  <c r="L65" i="1"/>
  <c r="J65" i="1"/>
  <c r="I65" i="1"/>
  <c r="G65" i="1"/>
  <c r="K65" i="1" s="1"/>
  <c r="E65" i="1"/>
  <c r="D65" i="1"/>
  <c r="C65" i="1"/>
  <c r="B65" i="1"/>
  <c r="P64" i="1"/>
  <c r="N64" i="1"/>
  <c r="L64" i="1"/>
  <c r="J64" i="1"/>
  <c r="K64" i="1" s="1"/>
  <c r="I64" i="1"/>
  <c r="G64" i="1"/>
  <c r="E64" i="1"/>
  <c r="F64" i="1" s="1"/>
  <c r="D64" i="1"/>
  <c r="Q64" i="1" s="1"/>
  <c r="C64" i="1"/>
  <c r="B64" i="1"/>
  <c r="S63" i="1"/>
  <c r="P63" i="1"/>
  <c r="O63" i="1"/>
  <c r="N63" i="1"/>
  <c r="R63" i="1" s="1"/>
  <c r="L63" i="1"/>
  <c r="M63" i="1" s="1"/>
  <c r="K63" i="1"/>
  <c r="J63" i="1"/>
  <c r="I63" i="1"/>
  <c r="G63" i="1"/>
  <c r="F63" i="1"/>
  <c r="E63" i="1"/>
  <c r="D63" i="1"/>
  <c r="Q63" i="1" s="1"/>
  <c r="C63" i="1"/>
  <c r="B63" i="1"/>
  <c r="P62" i="1"/>
  <c r="N62" i="1"/>
  <c r="R62" i="1" s="1"/>
  <c r="S62" i="1" s="1"/>
  <c r="L62" i="1"/>
  <c r="M62" i="1" s="1"/>
  <c r="J62" i="1"/>
  <c r="I62" i="1"/>
  <c r="G62" i="1"/>
  <c r="K62" i="1" s="1"/>
  <c r="E62" i="1"/>
  <c r="D62" i="1"/>
  <c r="O62" i="1" s="1"/>
  <c r="C62" i="1"/>
  <c r="B62" i="1"/>
  <c r="Q61" i="1"/>
  <c r="P61" i="1"/>
  <c r="N61" i="1"/>
  <c r="R61" i="1" s="1"/>
  <c r="S61" i="1" s="1"/>
  <c r="M61" i="1"/>
  <c r="L61" i="1"/>
  <c r="J61" i="1"/>
  <c r="I61" i="1"/>
  <c r="G61" i="1"/>
  <c r="K61" i="1" s="1"/>
  <c r="E61" i="1"/>
  <c r="D61" i="1"/>
  <c r="C61" i="1"/>
  <c r="B61" i="1"/>
  <c r="R60" i="1"/>
  <c r="S60" i="1" s="1"/>
  <c r="P60" i="1"/>
  <c r="N60" i="1"/>
  <c r="O60" i="1" s="1"/>
  <c r="L60" i="1"/>
  <c r="J60" i="1"/>
  <c r="K60" i="1" s="1"/>
  <c r="I60" i="1"/>
  <c r="G60" i="1"/>
  <c r="E60" i="1"/>
  <c r="F60" i="1" s="1"/>
  <c r="D60" i="1"/>
  <c r="Q60" i="1" s="1"/>
  <c r="C60" i="1"/>
  <c r="B60" i="1"/>
  <c r="S59" i="1"/>
  <c r="P59" i="1"/>
  <c r="O59" i="1"/>
  <c r="N59" i="1"/>
  <c r="R59" i="1" s="1"/>
  <c r="L59" i="1"/>
  <c r="M59" i="1" s="1"/>
  <c r="K59" i="1"/>
  <c r="J59" i="1"/>
  <c r="I59" i="1"/>
  <c r="G59" i="1"/>
  <c r="F59" i="1"/>
  <c r="E59" i="1"/>
  <c r="D59" i="1"/>
  <c r="Q59" i="1" s="1"/>
  <c r="C59" i="1"/>
  <c r="B59" i="1"/>
  <c r="P58" i="1"/>
  <c r="N58" i="1"/>
  <c r="R58" i="1" s="1"/>
  <c r="S58" i="1" s="1"/>
  <c r="L58" i="1"/>
  <c r="M58" i="1" s="1"/>
  <c r="J58" i="1"/>
  <c r="I58" i="1"/>
  <c r="G58" i="1"/>
  <c r="K58" i="1" s="1"/>
  <c r="E58" i="1"/>
  <c r="D58" i="1"/>
  <c r="O58" i="1" s="1"/>
  <c r="C58" i="1"/>
  <c r="P57" i="1"/>
  <c r="N57" i="1"/>
  <c r="R57" i="1" s="1"/>
  <c r="S57" i="1" s="1"/>
  <c r="L57" i="1"/>
  <c r="M57" i="1" s="1"/>
  <c r="J57" i="1"/>
  <c r="I57" i="1"/>
  <c r="G57" i="1"/>
  <c r="K57" i="1" s="1"/>
  <c r="E57" i="1"/>
  <c r="D57" i="1"/>
  <c r="O57" i="1" s="1"/>
  <c r="C57" i="1"/>
  <c r="B57" i="1"/>
  <c r="Q56" i="1"/>
  <c r="P56" i="1"/>
  <c r="N56" i="1"/>
  <c r="R56" i="1" s="1"/>
  <c r="S56" i="1" s="1"/>
  <c r="M56" i="1"/>
  <c r="L56" i="1"/>
  <c r="J56" i="1"/>
  <c r="I56" i="1"/>
  <c r="G56" i="1"/>
  <c r="E56" i="1"/>
  <c r="D56" i="1"/>
  <c r="C56" i="1"/>
  <c r="B56" i="1"/>
  <c r="R55" i="1"/>
  <c r="S55" i="1" s="1"/>
  <c r="P55" i="1"/>
  <c r="N55" i="1"/>
  <c r="O55" i="1" s="1"/>
  <c r="L55" i="1"/>
  <c r="M55" i="1" s="1"/>
  <c r="J55" i="1"/>
  <c r="K55" i="1" s="1"/>
  <c r="I55" i="1"/>
  <c r="G55" i="1"/>
  <c r="E55" i="1"/>
  <c r="F55" i="1" s="1"/>
  <c r="D55" i="1"/>
  <c r="Q55" i="1" s="1"/>
  <c r="C55" i="1"/>
  <c r="B55" i="1"/>
  <c r="S54" i="1"/>
  <c r="P54" i="1"/>
  <c r="O54" i="1"/>
  <c r="N54" i="1"/>
  <c r="R54" i="1" s="1"/>
  <c r="L54" i="1"/>
  <c r="M54" i="1" s="1"/>
  <c r="K54" i="1"/>
  <c r="J54" i="1"/>
  <c r="I54" i="1"/>
  <c r="G54" i="1"/>
  <c r="F54" i="1"/>
  <c r="E54" i="1"/>
  <c r="D54" i="1"/>
  <c r="Q54" i="1" s="1"/>
  <c r="C54" i="1"/>
  <c r="B54" i="1"/>
  <c r="P53" i="1"/>
  <c r="N53" i="1"/>
  <c r="R53" i="1" s="1"/>
  <c r="S53" i="1" s="1"/>
  <c r="L53" i="1"/>
  <c r="M53" i="1" s="1"/>
  <c r="J53" i="1"/>
  <c r="I53" i="1"/>
  <c r="G53" i="1"/>
  <c r="K53" i="1" s="1"/>
  <c r="E53" i="1"/>
  <c r="D53" i="1"/>
  <c r="O53" i="1" s="1"/>
  <c r="C53" i="1"/>
  <c r="B53" i="1"/>
  <c r="Q52" i="1"/>
  <c r="P52" i="1"/>
  <c r="N52" i="1"/>
  <c r="R52" i="1" s="1"/>
  <c r="S52" i="1" s="1"/>
  <c r="M52" i="1"/>
  <c r="L52" i="1"/>
  <c r="E52" i="1"/>
  <c r="F52" i="1" s="1"/>
  <c r="D52" i="1"/>
  <c r="O52" i="1" s="1"/>
  <c r="C52" i="1"/>
  <c r="B52" i="1"/>
  <c r="P51" i="1"/>
  <c r="E51" i="1"/>
  <c r="D51" i="1"/>
  <c r="F51" i="1" s="1"/>
  <c r="C51" i="1"/>
  <c r="B51" i="1"/>
  <c r="E50" i="1"/>
  <c r="F50" i="1" s="1"/>
  <c r="D50" i="1"/>
  <c r="C50" i="1"/>
  <c r="B50" i="1"/>
  <c r="E49" i="1"/>
  <c r="D49" i="1"/>
  <c r="F49" i="1" s="1"/>
  <c r="C49" i="1"/>
  <c r="B49" i="1"/>
  <c r="E48" i="1"/>
  <c r="F48" i="1" s="1"/>
  <c r="D48" i="1"/>
  <c r="C48" i="1"/>
  <c r="B48" i="1"/>
  <c r="E47" i="1"/>
  <c r="D47" i="1"/>
  <c r="F47" i="1" s="1"/>
  <c r="C47" i="1"/>
  <c r="B47" i="1"/>
  <c r="E46" i="1"/>
  <c r="F46" i="1" s="1"/>
  <c r="D46" i="1"/>
  <c r="C46" i="1"/>
  <c r="B46" i="1"/>
  <c r="E45" i="1"/>
  <c r="D45" i="1"/>
  <c r="C45" i="1"/>
  <c r="B45" i="1"/>
  <c r="F44" i="1"/>
  <c r="E44" i="1"/>
  <c r="D44" i="1"/>
  <c r="C44" i="1"/>
  <c r="B44" i="1"/>
  <c r="E43" i="1"/>
  <c r="D43" i="1"/>
  <c r="C43" i="1"/>
  <c r="B43" i="1"/>
  <c r="E42" i="1"/>
  <c r="F42" i="1" s="1"/>
  <c r="D42" i="1"/>
  <c r="C42" i="1"/>
  <c r="B42" i="1"/>
  <c r="E41" i="1"/>
  <c r="D41" i="1"/>
  <c r="C41" i="1"/>
  <c r="B41" i="1"/>
  <c r="E40" i="1"/>
  <c r="F40" i="1" s="1"/>
  <c r="D40" i="1"/>
  <c r="C40" i="1"/>
  <c r="B40" i="1"/>
  <c r="F39" i="1"/>
  <c r="E39" i="1"/>
  <c r="D39" i="1"/>
  <c r="C39" i="1"/>
  <c r="B39" i="1"/>
  <c r="E38" i="1"/>
  <c r="D38" i="1"/>
  <c r="C38" i="1"/>
  <c r="B38" i="1"/>
  <c r="F37" i="1"/>
  <c r="E37" i="1"/>
  <c r="D37" i="1"/>
  <c r="C37" i="1"/>
  <c r="B37" i="1"/>
  <c r="E36" i="1"/>
  <c r="D36" i="1"/>
  <c r="C36" i="1"/>
  <c r="B36" i="1"/>
  <c r="F35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F32" i="1" s="1"/>
  <c r="D32" i="1"/>
  <c r="C32" i="1"/>
  <c r="B32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E28" i="1"/>
  <c r="D28" i="1"/>
  <c r="C28" i="1"/>
  <c r="B28" i="1"/>
  <c r="F27" i="1"/>
  <c r="E27" i="1"/>
  <c r="D27" i="1"/>
  <c r="C27" i="1"/>
  <c r="B27" i="1"/>
  <c r="E26" i="1"/>
  <c r="D26" i="1"/>
  <c r="F26" i="1" s="1"/>
  <c r="C26" i="1"/>
  <c r="B26" i="1"/>
  <c r="E25" i="1"/>
  <c r="F25" i="1" s="1"/>
  <c r="D25" i="1"/>
  <c r="C25" i="1"/>
  <c r="B25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E21" i="1"/>
  <c r="D21" i="1"/>
  <c r="C21" i="1"/>
  <c r="B21" i="1"/>
  <c r="F20" i="1"/>
  <c r="E20" i="1"/>
  <c r="D20" i="1"/>
  <c r="C20" i="1"/>
  <c r="B20" i="1"/>
  <c r="E19" i="1"/>
  <c r="D19" i="1"/>
  <c r="C19" i="1"/>
  <c r="B19" i="1"/>
  <c r="F18" i="1"/>
  <c r="E18" i="1"/>
  <c r="D18" i="1"/>
  <c r="C18" i="1"/>
  <c r="B18" i="1"/>
  <c r="E17" i="1"/>
  <c r="D17" i="1"/>
  <c r="C17" i="1"/>
  <c r="B17" i="1"/>
  <c r="F16" i="1"/>
  <c r="E16" i="1"/>
  <c r="D16" i="1"/>
  <c r="C16" i="1"/>
  <c r="B16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F12" i="1"/>
  <c r="E12" i="1"/>
  <c r="D12" i="1"/>
  <c r="C12" i="1"/>
  <c r="B12" i="1"/>
  <c r="E11" i="1"/>
  <c r="D11" i="1"/>
  <c r="C11" i="1"/>
  <c r="B11" i="1"/>
  <c r="F10" i="1"/>
  <c r="E10" i="1"/>
  <c r="D10" i="1"/>
  <c r="C10" i="1"/>
  <c r="B10" i="1"/>
  <c r="E9" i="1"/>
  <c r="D9" i="1"/>
  <c r="C9" i="1"/>
  <c r="B9" i="1"/>
  <c r="F8" i="1"/>
  <c r="E8" i="1"/>
  <c r="D8" i="1"/>
  <c r="C8" i="1"/>
  <c r="B8" i="1"/>
  <c r="E7" i="1"/>
  <c r="D7" i="1"/>
  <c r="C7" i="1"/>
  <c r="B7" i="1"/>
  <c r="J51" i="1"/>
  <c r="N49" i="1"/>
  <c r="H48" i="1"/>
  <c r="L46" i="1"/>
  <c r="P44" i="1"/>
  <c r="J43" i="1"/>
  <c r="N41" i="1"/>
  <c r="H40" i="1"/>
  <c r="I51" i="1"/>
  <c r="I47" i="1"/>
  <c r="I43" i="1"/>
  <c r="I39" i="1"/>
  <c r="L51" i="1"/>
  <c r="P49" i="1"/>
  <c r="J48" i="1"/>
  <c r="G51" i="1"/>
  <c r="P43" i="1"/>
  <c r="J40" i="1"/>
  <c r="J37" i="1"/>
  <c r="I33" i="1"/>
  <c r="I29" i="1"/>
  <c r="G25" i="1"/>
  <c r="G21" i="1"/>
  <c r="I46" i="1"/>
  <c r="P38" i="1"/>
  <c r="L36" i="1"/>
  <c r="N32" i="1"/>
  <c r="P30" i="1"/>
  <c r="L28" i="1"/>
  <c r="L24" i="1"/>
  <c r="N22" i="1"/>
  <c r="G19" i="1"/>
  <c r="G15" i="1"/>
  <c r="G11" i="1"/>
  <c r="G7" i="1"/>
  <c r="N40" i="1"/>
  <c r="N37" i="1"/>
  <c r="N35" i="1"/>
  <c r="H32" i="1"/>
  <c r="L29" i="1"/>
  <c r="N27" i="1"/>
  <c r="H25" i="1"/>
  <c r="L22" i="1"/>
  <c r="N20" i="1"/>
  <c r="P18" i="1"/>
  <c r="J17" i="1"/>
  <c r="N15" i="1"/>
  <c r="H14" i="1"/>
  <c r="L12" i="1"/>
  <c r="P10" i="1"/>
  <c r="J9" i="1"/>
  <c r="N7" i="1"/>
  <c r="G45" i="1"/>
  <c r="L37" i="1"/>
  <c r="G35" i="1"/>
  <c r="H33" i="1"/>
  <c r="P29" i="1"/>
  <c r="G27" i="1"/>
  <c r="J24" i="1"/>
  <c r="I21" i="1"/>
  <c r="G18" i="1"/>
  <c r="G14" i="1"/>
  <c r="I34" i="1"/>
  <c r="J22" i="1"/>
  <c r="L17" i="1"/>
  <c r="J10" i="1"/>
  <c r="L7" i="1"/>
  <c r="J32" i="1"/>
  <c r="L23" i="1"/>
  <c r="H17" i="1"/>
  <c r="G10" i="1"/>
  <c r="L30" i="1"/>
  <c r="H19" i="1"/>
  <c r="J12" i="1"/>
  <c r="L9" i="1"/>
  <c r="G49" i="1"/>
  <c r="G33" i="1"/>
  <c r="P17" i="1"/>
  <c r="H13" i="1"/>
  <c r="P50" i="1"/>
  <c r="J49" i="1"/>
  <c r="N47" i="1"/>
  <c r="H46" i="1"/>
  <c r="L44" i="1"/>
  <c r="P42" i="1"/>
  <c r="J41" i="1"/>
  <c r="N39" i="1"/>
  <c r="G50" i="1"/>
  <c r="G46" i="1"/>
  <c r="G42" i="1"/>
  <c r="G38" i="1"/>
  <c r="H51" i="1"/>
  <c r="L49" i="1"/>
  <c r="P47" i="1"/>
  <c r="N46" i="1"/>
  <c r="H43" i="1"/>
  <c r="P39" i="1"/>
  <c r="G36" i="1"/>
  <c r="G32" i="1"/>
  <c r="G28" i="1"/>
  <c r="I24" i="1"/>
  <c r="I20" i="1"/>
  <c r="N44" i="1"/>
  <c r="I38" i="1"/>
  <c r="J35" i="1"/>
  <c r="I32" i="1"/>
  <c r="J30" i="1"/>
  <c r="J27" i="1"/>
  <c r="G24" i="1"/>
  <c r="H22" i="1"/>
  <c r="I18" i="1"/>
  <c r="I14" i="1"/>
  <c r="I10" i="1"/>
  <c r="I48" i="1"/>
  <c r="G39" i="1"/>
  <c r="G37" i="1"/>
  <c r="H35" i="1"/>
  <c r="P31" i="1"/>
  <c r="G29" i="1"/>
  <c r="H27" i="1"/>
  <c r="P24" i="1"/>
  <c r="G22" i="1"/>
  <c r="H20" i="1"/>
  <c r="L18" i="1"/>
  <c r="P16" i="1"/>
  <c r="J15" i="1"/>
  <c r="N13" i="1"/>
  <c r="H52" i="1"/>
  <c r="P48" i="1"/>
  <c r="N45" i="1"/>
  <c r="L42" i="1"/>
  <c r="J39" i="1"/>
  <c r="I45" i="1"/>
  <c r="I37" i="1"/>
  <c r="H49" i="1"/>
  <c r="L45" i="1"/>
  <c r="H39" i="1"/>
  <c r="I31" i="1"/>
  <c r="G23" i="1"/>
  <c r="G43" i="1"/>
  <c r="H34" i="1"/>
  <c r="N29" i="1"/>
  <c r="P23" i="1"/>
  <c r="G17" i="1"/>
  <c r="G9" i="1"/>
  <c r="N38" i="1"/>
  <c r="L34" i="1"/>
  <c r="P28" i="1"/>
  <c r="N23" i="1"/>
  <c r="N19" i="1"/>
  <c r="L16" i="1"/>
  <c r="J13" i="1"/>
  <c r="J11" i="1"/>
  <c r="P8" i="1"/>
  <c r="I52" i="1"/>
  <c r="H41" i="1"/>
  <c r="P34" i="1"/>
  <c r="J31" i="1"/>
  <c r="L27" i="1"/>
  <c r="H23" i="1"/>
  <c r="G20" i="1"/>
  <c r="I15" i="1"/>
  <c r="P32" i="1"/>
  <c r="P19" i="1"/>
  <c r="L11" i="1"/>
  <c r="J46" i="1"/>
  <c r="H28" i="1"/>
  <c r="J18" i="1"/>
  <c r="I7" i="1"/>
  <c r="G26" i="1"/>
  <c r="L13" i="1"/>
  <c r="J8" i="1"/>
  <c r="H36" i="1"/>
  <c r="H24" i="1"/>
  <c r="G12" i="1"/>
  <c r="N51" i="1"/>
  <c r="L48" i="1"/>
  <c r="J45" i="1"/>
  <c r="H42" i="1"/>
  <c r="G52" i="1"/>
  <c r="G44" i="1"/>
  <c r="J52" i="1"/>
  <c r="N48" i="1"/>
  <c r="J44" i="1"/>
  <c r="L38" i="1"/>
  <c r="G30" i="1"/>
  <c r="I22" i="1"/>
  <c r="J42" i="1"/>
  <c r="P33" i="1"/>
  <c r="H29" i="1"/>
  <c r="J23" i="1"/>
  <c r="I16" i="1"/>
  <c r="I8" i="1"/>
  <c r="H38" i="1"/>
  <c r="J33" i="1"/>
  <c r="J28" i="1"/>
  <c r="I23" i="1"/>
  <c r="J19" i="1"/>
  <c r="H16" i="1"/>
  <c r="P12" i="1"/>
  <c r="L10" i="1"/>
  <c r="L8" i="1"/>
  <c r="P45" i="1"/>
  <c r="N36" i="1"/>
  <c r="J34" i="1"/>
  <c r="H30" i="1"/>
  <c r="N26" i="1"/>
  <c r="P22" i="1"/>
  <c r="I19" i="1"/>
  <c r="I13" i="1"/>
  <c r="H31" i="1"/>
  <c r="N18" i="1"/>
  <c r="P9" i="1"/>
  <c r="I40" i="1"/>
  <c r="L26" i="1"/>
  <c r="P13" i="1"/>
  <c r="L39" i="1"/>
  <c r="N24" i="1"/>
  <c r="P11" i="1"/>
  <c r="P7" i="1"/>
  <c r="N34" i="1"/>
  <c r="N16" i="1"/>
  <c r="I9" i="1"/>
  <c r="L50" i="1"/>
  <c r="J47" i="1"/>
  <c r="H44" i="1"/>
  <c r="P40" i="1"/>
  <c r="I49" i="1"/>
  <c r="I41" i="1"/>
  <c r="N50" i="1"/>
  <c r="L47" i="1"/>
  <c r="N42" i="1"/>
  <c r="I35" i="1"/>
  <c r="I27" i="1"/>
  <c r="I50" i="1"/>
  <c r="P37" i="1"/>
  <c r="L31" i="1"/>
  <c r="N25" i="1"/>
  <c r="L21" i="1"/>
  <c r="G13" i="1"/>
  <c r="H45" i="1"/>
  <c r="P36" i="1"/>
  <c r="N30" i="1"/>
  <c r="P26" i="1"/>
  <c r="P21" i="1"/>
  <c r="H18" i="1"/>
  <c r="P14" i="1"/>
  <c r="H12" i="1"/>
  <c r="H10" i="1"/>
  <c r="H8" i="1"/>
  <c r="I44" i="1"/>
  <c r="I36" i="1"/>
  <c r="N33" i="1"/>
  <c r="N28" i="1"/>
  <c r="H26" i="1"/>
  <c r="N21" i="1"/>
  <c r="I17" i="1"/>
  <c r="G41" i="1"/>
  <c r="J25" i="1"/>
  <c r="J16" i="1"/>
  <c r="H9" i="1"/>
  <c r="J38" i="1"/>
  <c r="P20" i="1"/>
  <c r="N12" i="1"/>
  <c r="L33" i="1"/>
  <c r="P15" i="1"/>
  <c r="H11" i="1"/>
  <c r="H7" i="1"/>
  <c r="N31" i="1"/>
  <c r="L15" i="1"/>
  <c r="G8" i="1"/>
  <c r="H50" i="1"/>
  <c r="P46" i="1"/>
  <c r="N43" i="1"/>
  <c r="L40" i="1"/>
  <c r="G48" i="1"/>
  <c r="G40" i="1"/>
  <c r="J50" i="1"/>
  <c r="H47" i="1"/>
  <c r="L41" i="1"/>
  <c r="G34" i="1"/>
  <c r="I26" i="1"/>
  <c r="G47" i="1"/>
  <c r="H37" i="1"/>
  <c r="G31" i="1"/>
  <c r="I25" i="1"/>
  <c r="J20" i="1"/>
  <c r="I12" i="1"/>
  <c r="I42" i="1"/>
  <c r="J36" i="1"/>
  <c r="I30" i="1"/>
  <c r="J26" i="1"/>
  <c r="J21" i="1"/>
  <c r="N17" i="1"/>
  <c r="L14" i="1"/>
  <c r="N11" i="1"/>
  <c r="N9" i="1"/>
  <c r="J7" i="1"/>
  <c r="L43" i="1"/>
  <c r="L35" i="1"/>
  <c r="L32" i="1"/>
  <c r="I28" i="1"/>
  <c r="L25" i="1"/>
  <c r="L20" i="1"/>
  <c r="G16" i="1"/>
  <c r="P35" i="1"/>
  <c r="H21" i="1"/>
  <c r="H15" i="1"/>
  <c r="N8" i="1"/>
  <c r="J29" i="1"/>
  <c r="L19" i="1"/>
  <c r="I11" i="1"/>
  <c r="P27" i="1"/>
  <c r="N14" i="1"/>
  <c r="N10" i="1"/>
  <c r="P41" i="1"/>
  <c r="P25" i="1"/>
  <c r="J14" i="1"/>
  <c r="K8" i="1" l="1"/>
  <c r="K12" i="1"/>
  <c r="M15" i="1"/>
  <c r="O16" i="1"/>
  <c r="R16" i="1"/>
  <c r="S16" i="1" s="1"/>
  <c r="Q25" i="1"/>
  <c r="R31" i="1"/>
  <c r="S31" i="1" s="1"/>
  <c r="K33" i="1"/>
  <c r="R34" i="1"/>
  <c r="S34" i="1" s="1"/>
  <c r="K49" i="1"/>
  <c r="P72" i="1"/>
  <c r="Q7" i="1"/>
  <c r="M9" i="1"/>
  <c r="R10" i="1"/>
  <c r="S10" i="1" s="1"/>
  <c r="O10" i="1"/>
  <c r="Q11" i="1"/>
  <c r="M13" i="1"/>
  <c r="O14" i="1"/>
  <c r="R14" i="1"/>
  <c r="S14" i="1" s="1"/>
  <c r="R24" i="1"/>
  <c r="S24" i="1" s="1"/>
  <c r="K26" i="1"/>
  <c r="M30" i="1"/>
  <c r="M33" i="1"/>
  <c r="M39" i="1"/>
  <c r="K10" i="1"/>
  <c r="O12" i="1"/>
  <c r="R12" i="1"/>
  <c r="S12" i="1" s="1"/>
  <c r="M19" i="1"/>
  <c r="M23" i="1"/>
  <c r="M26" i="1"/>
  <c r="M7" i="1"/>
  <c r="R8" i="1"/>
  <c r="S8" i="1" s="1"/>
  <c r="O8" i="1"/>
  <c r="Q9" i="1"/>
  <c r="M11" i="1"/>
  <c r="M17" i="1"/>
  <c r="O18" i="1"/>
  <c r="R18" i="1"/>
  <c r="S18" i="1" s="1"/>
  <c r="Q32" i="1"/>
  <c r="K41" i="1"/>
  <c r="K14" i="1"/>
  <c r="K16" i="1"/>
  <c r="K18" i="1"/>
  <c r="K20" i="1"/>
  <c r="M20" i="1"/>
  <c r="R21" i="1"/>
  <c r="S21" i="1" s="1"/>
  <c r="M25" i="1"/>
  <c r="R26" i="1"/>
  <c r="S26" i="1" s="1"/>
  <c r="K27" i="1"/>
  <c r="M27" i="1"/>
  <c r="R28" i="1"/>
  <c r="S28" i="1" s="1"/>
  <c r="M32" i="1"/>
  <c r="R33" i="1"/>
  <c r="S33" i="1" s="1"/>
  <c r="K35" i="1"/>
  <c r="M35" i="1"/>
  <c r="R36" i="1"/>
  <c r="S36" i="1" s="1"/>
  <c r="M37" i="1"/>
  <c r="M43" i="1"/>
  <c r="K45" i="1"/>
  <c r="R7" i="1"/>
  <c r="S7" i="1" s="1"/>
  <c r="M8" i="1"/>
  <c r="R9" i="1"/>
  <c r="S9" i="1" s="1"/>
  <c r="M10" i="1"/>
  <c r="R11" i="1"/>
  <c r="S11" i="1" s="1"/>
  <c r="M12" i="1"/>
  <c r="R13" i="1"/>
  <c r="S13" i="1" s="1"/>
  <c r="M14" i="1"/>
  <c r="R15" i="1"/>
  <c r="S15" i="1" s="1"/>
  <c r="M16" i="1"/>
  <c r="R17" i="1"/>
  <c r="S17" i="1" s="1"/>
  <c r="M18" i="1"/>
  <c r="R19" i="1"/>
  <c r="S19" i="1" s="1"/>
  <c r="R20" i="1"/>
  <c r="S20" i="1" s="1"/>
  <c r="K22" i="1"/>
  <c r="M22" i="1"/>
  <c r="R23" i="1"/>
  <c r="S23" i="1" s="1"/>
  <c r="R27" i="1"/>
  <c r="S27" i="1" s="1"/>
  <c r="K29" i="1"/>
  <c r="M29" i="1"/>
  <c r="R30" i="1"/>
  <c r="S30" i="1" s="1"/>
  <c r="M34" i="1"/>
  <c r="R35" i="1"/>
  <c r="S35" i="1" s="1"/>
  <c r="K37" i="1"/>
  <c r="R37" i="1"/>
  <c r="S37" i="1" s="1"/>
  <c r="R38" i="1"/>
  <c r="S38" i="1" s="1"/>
  <c r="K39" i="1"/>
  <c r="R40" i="1"/>
  <c r="S40" i="1" s="1"/>
  <c r="K7" i="1"/>
  <c r="K9" i="1"/>
  <c r="K11" i="1"/>
  <c r="K13" i="1"/>
  <c r="K15" i="1"/>
  <c r="K17" i="1"/>
  <c r="K19" i="1"/>
  <c r="M21" i="1"/>
  <c r="R22" i="1"/>
  <c r="S22" i="1" s="1"/>
  <c r="O22" i="1"/>
  <c r="Q23" i="1"/>
  <c r="K24" i="1"/>
  <c r="M24" i="1"/>
  <c r="R25" i="1"/>
  <c r="S25" i="1" s="1"/>
  <c r="M28" i="1"/>
  <c r="R29" i="1"/>
  <c r="S29" i="1" s="1"/>
  <c r="O29" i="1"/>
  <c r="Q30" i="1"/>
  <c r="K31" i="1"/>
  <c r="M31" i="1"/>
  <c r="R32" i="1"/>
  <c r="S32" i="1" s="1"/>
  <c r="M36" i="1"/>
  <c r="K43" i="1"/>
  <c r="R44" i="1"/>
  <c r="S44" i="1" s="1"/>
  <c r="K47" i="1"/>
  <c r="K21" i="1"/>
  <c r="K23" i="1"/>
  <c r="K25" i="1"/>
  <c r="K28" i="1"/>
  <c r="K30" i="1"/>
  <c r="K32" i="1"/>
  <c r="K34" i="1"/>
  <c r="K36" i="1"/>
  <c r="M38" i="1"/>
  <c r="M41" i="1"/>
  <c r="R42" i="1"/>
  <c r="S42" i="1" s="1"/>
  <c r="M45" i="1"/>
  <c r="R46" i="1"/>
  <c r="S46" i="1" s="1"/>
  <c r="K51" i="1"/>
  <c r="M47" i="1"/>
  <c r="R48" i="1"/>
  <c r="S48" i="1" s="1"/>
  <c r="M49" i="1"/>
  <c r="R50" i="1"/>
  <c r="S50" i="1" s="1"/>
  <c r="M51" i="1"/>
  <c r="K38" i="1"/>
  <c r="K40" i="1"/>
  <c r="K42" i="1"/>
  <c r="K44" i="1"/>
  <c r="K46" i="1"/>
  <c r="K48" i="1"/>
  <c r="K50" i="1"/>
  <c r="K52" i="1"/>
  <c r="R39" i="1"/>
  <c r="S39" i="1" s="1"/>
  <c r="O39" i="1"/>
  <c r="M40" i="1"/>
  <c r="Q40" i="1"/>
  <c r="R41" i="1"/>
  <c r="S41" i="1" s="1"/>
  <c r="M42" i="1"/>
  <c r="Q42" i="1"/>
  <c r="R43" i="1"/>
  <c r="S43" i="1" s="1"/>
  <c r="M44" i="1"/>
  <c r="Q44" i="1"/>
  <c r="R45" i="1"/>
  <c r="S45" i="1" s="1"/>
  <c r="O45" i="1"/>
  <c r="M46" i="1"/>
  <c r="Q46" i="1"/>
  <c r="R47" i="1"/>
  <c r="S47" i="1" s="1"/>
  <c r="O47" i="1"/>
  <c r="M48" i="1"/>
  <c r="Q48" i="1"/>
  <c r="R49" i="1"/>
  <c r="S49" i="1" s="1"/>
  <c r="O49" i="1"/>
  <c r="M50" i="1"/>
  <c r="Q50" i="1"/>
  <c r="R51" i="1"/>
  <c r="S51" i="1" s="1"/>
  <c r="O51" i="1"/>
  <c r="Q16" i="1"/>
  <c r="O17" i="1"/>
  <c r="F17" i="1"/>
  <c r="Q17" i="1"/>
  <c r="O38" i="1"/>
  <c r="Q38" i="1"/>
  <c r="F38" i="1"/>
  <c r="Q8" i="1"/>
  <c r="O9" i="1"/>
  <c r="F9" i="1"/>
  <c r="Q12" i="1"/>
  <c r="Q14" i="1"/>
  <c r="O15" i="1"/>
  <c r="F15" i="1"/>
  <c r="Q15" i="1"/>
  <c r="Q31" i="1"/>
  <c r="F31" i="1"/>
  <c r="O31" i="1"/>
  <c r="O34" i="1"/>
  <c r="Q34" i="1"/>
  <c r="F34" i="1"/>
  <c r="O13" i="1"/>
  <c r="F13" i="1"/>
  <c r="Q13" i="1"/>
  <c r="Q24" i="1"/>
  <c r="F24" i="1"/>
  <c r="O24" i="1"/>
  <c r="O7" i="1"/>
  <c r="F7" i="1"/>
  <c r="Q10" i="1"/>
  <c r="O11" i="1"/>
  <c r="F11" i="1"/>
  <c r="Q18" i="1"/>
  <c r="O19" i="1"/>
  <c r="F19" i="1"/>
  <c r="Q19" i="1"/>
  <c r="O42" i="1"/>
  <c r="O21" i="1"/>
  <c r="O28" i="1"/>
  <c r="Q33" i="1"/>
  <c r="O36" i="1"/>
  <c r="F43" i="1"/>
  <c r="Q43" i="1"/>
  <c r="O46" i="1"/>
  <c r="O50" i="1"/>
  <c r="Q20" i="1"/>
  <c r="O23" i="1"/>
  <c r="Q27" i="1"/>
  <c r="O30" i="1"/>
  <c r="O33" i="1"/>
  <c r="Q35" i="1"/>
  <c r="F41" i="1"/>
  <c r="Q41" i="1"/>
  <c r="O43" i="1"/>
  <c r="O64" i="1"/>
  <c r="R64" i="1"/>
  <c r="S64" i="1" s="1"/>
  <c r="O65" i="1"/>
  <c r="F65" i="1"/>
  <c r="Q65" i="1"/>
  <c r="O20" i="1"/>
  <c r="F21" i="1"/>
  <c r="Q21" i="1"/>
  <c r="Q22" i="1"/>
  <c r="O25" i="1"/>
  <c r="O27" i="1"/>
  <c r="F28" i="1"/>
  <c r="Q28" i="1"/>
  <c r="Q29" i="1"/>
  <c r="O32" i="1"/>
  <c r="F33" i="1"/>
  <c r="O35" i="1"/>
  <c r="F36" i="1"/>
  <c r="Q36" i="1"/>
  <c r="Q37" i="1"/>
  <c r="O37" i="1"/>
  <c r="O41" i="1"/>
  <c r="F45" i="1"/>
  <c r="Q45" i="1"/>
  <c r="R66" i="1"/>
  <c r="S66" i="1" s="1"/>
  <c r="O69" i="1"/>
  <c r="F69" i="1"/>
  <c r="M69" i="1"/>
  <c r="Q69" i="1"/>
  <c r="Q39" i="1"/>
  <c r="O40" i="1"/>
  <c r="O44" i="1"/>
  <c r="O48" i="1"/>
  <c r="O56" i="1"/>
  <c r="K56" i="1"/>
  <c r="F56" i="1"/>
  <c r="O61" i="1"/>
  <c r="F61" i="1"/>
  <c r="K69" i="1"/>
  <c r="R70" i="1"/>
  <c r="S70" i="1" s="1"/>
  <c r="Q53" i="1"/>
  <c r="Q57" i="1"/>
  <c r="Q58" i="1"/>
  <c r="Q62" i="1"/>
  <c r="Q66" i="1"/>
  <c r="Q70" i="1"/>
  <c r="Q47" i="1"/>
  <c r="Q49" i="1"/>
  <c r="Q51" i="1"/>
  <c r="F53" i="1"/>
  <c r="F57" i="1"/>
  <c r="F58" i="1"/>
  <c r="M60" i="1"/>
  <c r="F62" i="1"/>
  <c r="M64" i="1"/>
  <c r="F66" i="1"/>
  <c r="F70" i="1"/>
  <c r="F72" i="1" l="1"/>
  <c r="K72" i="1"/>
  <c r="S72" i="1"/>
  <c r="Q72" i="1"/>
  <c r="O72" i="1"/>
  <c r="M72" i="1"/>
</calcChain>
</file>

<file path=xl/sharedStrings.xml><?xml version="1.0" encoding="utf-8"?>
<sst xmlns="http://schemas.openxmlformats.org/spreadsheetml/2006/main" count="68" uniqueCount="52">
  <si>
    <t>ĐVT: Đồng</t>
  </si>
  <si>
    <t>TT</t>
  </si>
  <si>
    <t>Tên LTTP-Chất đốt</t>
  </si>
  <si>
    <t>ĐVT</t>
  </si>
  <si>
    <t xml:space="preserve">Đơn giá </t>
  </si>
  <si>
    <t>Ngày trước 
chuyển qua</t>
  </si>
  <si>
    <t>Nhập trong ngày</t>
  </si>
  <si>
    <t>Cộng nhập</t>
  </si>
  <si>
    <t>Xuất ăn 
trong ngày</t>
  </si>
  <si>
    <t>Xuất khác</t>
  </si>
  <si>
    <t>Cộng xuất</t>
  </si>
  <si>
    <t>CÔNG KHAI TÀI CHÍNH</t>
  </si>
  <si>
    <t>Số lượng</t>
  </si>
  <si>
    <t>Thành tiền</t>
  </si>
  <si>
    <t xml:space="preserve">Thành
 tiền
</t>
  </si>
  <si>
    <t>Ngày</t>
  </si>
  <si>
    <t>Trên BĐ</t>
  </si>
  <si>
    <t>Đơn vị BĐ</t>
  </si>
  <si>
    <t>Mua TT</t>
  </si>
  <si>
    <t>TG</t>
  </si>
  <si>
    <t>CB</t>
  </si>
  <si>
    <t>Thu</t>
  </si>
  <si>
    <t>- Mức:</t>
  </si>
  <si>
    <t xml:space="preserve">+ Sáng: </t>
  </si>
  <si>
    <t>+ Trưa:</t>
  </si>
  <si>
    <t>+ Chiều:</t>
  </si>
  <si>
    <t>Ăn thêm</t>
  </si>
  <si>
    <t>+ Bệnh xá</t>
  </si>
  <si>
    <t>+ Bệnh nhân</t>
  </si>
  <si>
    <t>+ Ốm tại trại</t>
  </si>
  <si>
    <t>+ Lễ, tết:</t>
  </si>
  <si>
    <t>Cộng:</t>
  </si>
  <si>
    <t>- Thừa hôm trước</t>
  </si>
  <si>
    <t>- Bù giá gạo:</t>
  </si>
  <si>
    <t>- Ăn thêm:</t>
  </si>
  <si>
    <t>- Truy lĩnh:</t>
  </si>
  <si>
    <t>- Thu của khách:</t>
  </si>
  <si>
    <t>Cộng thu:</t>
  </si>
  <si>
    <t>Chi</t>
  </si>
  <si>
    <t>- Tiền đã sử dụng:</t>
  </si>
  <si>
    <t>- Thiếu hôm trước:</t>
  </si>
  <si>
    <t>Cộng chi:</t>
  </si>
  <si>
    <t>So sánh</t>
  </si>
  <si>
    <t>Thừa trong ngày:</t>
  </si>
  <si>
    <t>Thiếu trong ngày:</t>
  </si>
  <si>
    <t xml:space="preserve">  </t>
  </si>
  <si>
    <t>Cộng</t>
  </si>
  <si>
    <t>QUẢN LÝ ĐƠN VỊ</t>
  </si>
  <si>
    <t>TRỰC BAN</t>
  </si>
  <si>
    <t>CHỈ HUY ĐƠN VỊ</t>
  </si>
  <si>
    <t>1// CN Nguyễn Văn Khánh</t>
  </si>
  <si>
    <t>2//  Nguyễn Minh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</si>
</sst>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0" borderId="10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vertical="center" wrapText="1"/>
    </xf>
    <xf numFmtId="0" fontId="4" fillId="0" borderId="13" xfId="0" applyNumberFormat="1" applyFont="1" applyFill="1" applyBorder="1" applyAlignment="1">
      <alignment vertical="center" wrapText="1"/>
    </xf>
    <xf numFmtId="3" fontId="1" fillId="0" borderId="2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3" fontId="1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Font="1" applyFill="1" applyBorder="1"/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 wrapText="1"/>
    </xf>
    <xf numFmtId="3" fontId="1" fillId="0" borderId="15" xfId="0" applyNumberFormat="1" applyFont="1" applyFill="1" applyBorder="1" applyAlignment="1">
      <alignment horizontal="center" vertical="center" wrapText="1"/>
    </xf>
    <xf numFmtId="3" fontId="2" fillId="0" borderId="15" xfId="0" applyNumberFormat="1" applyFont="1" applyFill="1" applyBorder="1" applyAlignment="1">
      <alignment vertical="center" wrapText="1"/>
    </xf>
    <xf numFmtId="0" fontId="2" fillId="0" borderId="15" xfId="0" applyNumberFormat="1" applyFont="1" applyFill="1" applyBorder="1" applyAlignment="1">
      <alignment vertical="center" wrapText="1"/>
    </xf>
    <xf numFmtId="3" fontId="2" fillId="0" borderId="15" xfId="0" applyNumberFormat="1" applyFont="1" applyFill="1" applyBorder="1" applyAlignment="1">
      <alignment vertical="center"/>
    </xf>
    <xf numFmtId="3" fontId="7" fillId="0" borderId="15" xfId="0" applyNumberFormat="1" applyFont="1" applyFill="1" applyBorder="1" applyAlignment="1">
      <alignment vertical="center"/>
    </xf>
    <xf numFmtId="0" fontId="7" fillId="0" borderId="15" xfId="0" applyNumberFormat="1" applyFont="1" applyFill="1" applyBorder="1" applyAlignment="1">
      <alignment vertical="center" wrapText="1"/>
    </xf>
    <xf numFmtId="0" fontId="2" fillId="0" borderId="15" xfId="0" applyNumberFormat="1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vertical="center" wrapText="1"/>
    </xf>
    <xf numFmtId="3" fontId="1" fillId="0" borderId="19" xfId="0" applyNumberFormat="1" applyFont="1" applyFill="1" applyBorder="1" applyAlignment="1">
      <alignment horizontal="center" vertical="center" wrapText="1"/>
    </xf>
    <xf numFmtId="3" fontId="2" fillId="0" borderId="19" xfId="0" applyNumberFormat="1" applyFont="1" applyFill="1" applyBorder="1" applyAlignment="1">
      <alignment vertical="center" wrapText="1"/>
    </xf>
    <xf numFmtId="0" fontId="2" fillId="0" borderId="19" xfId="0" applyNumberFormat="1" applyFont="1" applyFill="1" applyBorder="1" applyAlignment="1">
      <alignment vertical="center" wrapText="1"/>
    </xf>
    <xf numFmtId="3" fontId="2" fillId="0" borderId="19" xfId="0" applyNumberFormat="1" applyFont="1" applyFill="1" applyBorder="1" applyAlignment="1">
      <alignment vertical="center"/>
    </xf>
    <xf numFmtId="3" fontId="7" fillId="0" borderId="19" xfId="0" applyNumberFormat="1" applyFont="1" applyFill="1" applyBorder="1" applyAlignment="1">
      <alignment vertical="center"/>
    </xf>
    <xf numFmtId="0" fontId="7" fillId="0" borderId="19" xfId="0" applyNumberFormat="1" applyFont="1" applyFill="1" applyBorder="1" applyAlignment="1">
      <alignment vertical="center" wrapText="1"/>
    </xf>
    <xf numFmtId="0" fontId="2" fillId="0" borderId="19" xfId="0" applyNumberFormat="1" applyFont="1" applyFill="1" applyBorder="1" applyAlignment="1">
      <alignment vertical="center"/>
    </xf>
    <xf numFmtId="3" fontId="1" fillId="0" borderId="20" xfId="0" applyNumberFormat="1" applyFont="1" applyFill="1" applyBorder="1" applyAlignment="1">
      <alignment vertical="center" wrapText="1"/>
    </xf>
    <xf numFmtId="49" fontId="1" fillId="0" borderId="20" xfId="0" applyNumberFormat="1" applyFont="1" applyFill="1" applyBorder="1" applyAlignment="1">
      <alignment vertical="center" wrapText="1"/>
    </xf>
    <xf numFmtId="3" fontId="1" fillId="0" borderId="21" xfId="0" applyNumberFormat="1" applyFont="1" applyFill="1" applyBorder="1" applyAlignment="1">
      <alignment vertical="center" wrapText="1"/>
    </xf>
    <xf numFmtId="49" fontId="4" fillId="0" borderId="20" xfId="0" applyNumberFormat="1" applyFont="1" applyFill="1" applyBorder="1" applyAlignment="1">
      <alignment vertical="center" wrapText="1"/>
    </xf>
    <xf numFmtId="3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center" vertical="center" wrapText="1"/>
    </xf>
    <xf numFmtId="0" fontId="7" fillId="0" borderId="22" xfId="0" applyNumberFormat="1" applyFont="1" applyFill="1" applyBorder="1" applyAlignment="1">
      <alignment vertical="center" wrapText="1"/>
    </xf>
    <xf numFmtId="3" fontId="7" fillId="0" borderId="22" xfId="0" applyNumberFormat="1" applyFont="1" applyFill="1" applyBorder="1" applyAlignment="1">
      <alignment vertical="center"/>
    </xf>
    <xf numFmtId="0" fontId="2" fillId="0" borderId="22" xfId="0" applyNumberFormat="1" applyFont="1" applyFill="1" applyBorder="1" applyAlignment="1">
      <alignment vertical="center" wrapText="1"/>
    </xf>
    <xf numFmtId="3" fontId="2" fillId="0" borderId="22" xfId="0" applyNumberFormat="1" applyFont="1" applyFill="1" applyBorder="1" applyAlignment="1">
      <alignment vertical="center"/>
    </xf>
    <xf numFmtId="0" fontId="2" fillId="0" borderId="22" xfId="0" applyNumberFormat="1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2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0" fontId="1" fillId="0" borderId="20" xfId="0" applyNumberFormat="1" applyFont="1" applyFill="1" applyBorder="1" applyAlignment="1">
      <alignment horizontal="left" vertical="center" wrapText="1"/>
    </xf>
    <xf numFmtId="0" fontId="1" fillId="0" borderId="21" xfId="0" applyNumberFormat="1" applyFont="1" applyFill="1" applyBorder="1" applyAlignment="1">
      <alignment horizontal="left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49" fontId="1" fillId="0" borderId="21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left" vertical="center" wrapText="1"/>
    </xf>
    <xf numFmtId="49" fontId="4" fillId="0" borderId="21" xfId="0" applyNumberFormat="1" applyFont="1" applyFill="1" applyBorder="1" applyAlignment="1">
      <alignment horizontal="left" vertical="center" wrapText="1"/>
    </xf>
    <xf numFmtId="49" fontId="2" fillId="0" borderId="20" xfId="0" applyNumberFormat="1" applyFont="1" applyFill="1" applyBorder="1" applyAlignment="1">
      <alignment horizontal="left" vertical="center" wrapText="1"/>
    </xf>
    <xf numFmtId="49" fontId="2" fillId="0" borderId="21" xfId="0" applyNumberFormat="1" applyFont="1" applyFill="1" applyBorder="1" applyAlignment="1">
      <alignment horizontal="left" vertical="center" wrapText="1"/>
    </xf>
    <xf numFmtId="0" fontId="4" fillId="0" borderId="16" xfId="0" applyNumberFormat="1" applyFont="1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center" vertical="center"/>
    </xf>
    <xf numFmtId="3" fontId="4" fillId="0" borderId="20" xfId="0" applyNumberFormat="1" applyFont="1" applyFill="1" applyBorder="1" applyAlignment="1">
      <alignment horizontal="center" vertical="center" wrapText="1"/>
    </xf>
    <xf numFmtId="3" fontId="4" fillId="0" borderId="21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3" fontId="6" fillId="0" borderId="3" xfId="0" applyNumberFormat="1" applyFont="1" applyFill="1" applyBorder="1" applyAlignment="1">
      <alignment horizontal="center" vertical="center" wrapText="1"/>
    </xf>
    <xf numFmtId="3" fontId="6" fillId="0" borderId="8" xfId="0" applyNumberFormat="1" applyFont="1" applyFill="1" applyBorder="1" applyAlignment="1">
      <alignment horizontal="center" vertical="center" wrapText="1"/>
    </xf>
    <xf numFmtId="3" fontId="6" fillId="0" borderId="1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ni/OneDrive/Desktop/h&#7853;u%20c&#7847;n/2026/template/D&#7919;%20li&#7879;u%20g&#7889;c%20(N-X-T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DM LT, TP"/>
    </sheetNames>
    <sheetDataSet>
      <sheetData sheetId="0"/>
      <sheetData sheetId="1">
        <row r="7">
          <cell r="B7">
            <v>1</v>
          </cell>
          <cell r="C7" t="str">
            <v>Gạo tám thơm</v>
          </cell>
          <cell r="D7" t="str">
            <v>Kg</v>
          </cell>
          <cell r="E7">
            <v>22000</v>
          </cell>
          <cell r="F7">
            <v>0</v>
          </cell>
          <cell r="G7">
            <v>0</v>
          </cell>
          <cell r="H7">
            <v>0</v>
          </cell>
          <cell r="L7">
            <v>0</v>
          </cell>
          <cell r="M7">
            <v>0</v>
          </cell>
          <cell r="N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B8">
            <v>2</v>
          </cell>
          <cell r="C8" t="str">
            <v>Gạo tẻ thường</v>
          </cell>
          <cell r="D8" t="str">
            <v>Kg</v>
          </cell>
          <cell r="E8">
            <v>16000</v>
          </cell>
          <cell r="F8">
            <v>61</v>
          </cell>
          <cell r="G8">
            <v>976000</v>
          </cell>
          <cell r="H8">
            <v>1500</v>
          </cell>
          <cell r="L8">
            <v>24000000</v>
          </cell>
          <cell r="M8">
            <v>1500</v>
          </cell>
          <cell r="N8">
            <v>24000000</v>
          </cell>
          <cell r="O8">
            <v>66</v>
          </cell>
          <cell r="P8">
            <v>1056000</v>
          </cell>
          <cell r="R8">
            <v>0</v>
          </cell>
          <cell r="S8">
            <v>66</v>
          </cell>
          <cell r="T8">
            <v>1056000</v>
          </cell>
          <cell r="U8">
            <v>1495</v>
          </cell>
          <cell r="V8">
            <v>23920000</v>
          </cell>
        </row>
        <row r="9">
          <cell r="B9">
            <v>3</v>
          </cell>
          <cell r="C9" t="str">
            <v>Thịt nạc mông</v>
          </cell>
          <cell r="D9" t="str">
            <v>Kg</v>
          </cell>
          <cell r="E9">
            <v>134000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B10">
            <v>4</v>
          </cell>
          <cell r="C10" t="str">
            <v>Thịt mông</v>
          </cell>
          <cell r="D10" t="str">
            <v>Kg</v>
          </cell>
          <cell r="E10">
            <v>128000</v>
          </cell>
          <cell r="F10">
            <v>0</v>
          </cell>
          <cell r="G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B11">
            <v>5</v>
          </cell>
          <cell r="C11" t="str">
            <v>Thịt nạc vai</v>
          </cell>
          <cell r="D11" t="str">
            <v>Kg</v>
          </cell>
          <cell r="E11">
            <v>128000</v>
          </cell>
          <cell r="F11">
            <v>0</v>
          </cell>
          <cell r="G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B12">
            <v>6</v>
          </cell>
          <cell r="C12" t="str">
            <v>Thịt vai</v>
          </cell>
          <cell r="D12" t="str">
            <v>Kg</v>
          </cell>
          <cell r="E12">
            <v>112000</v>
          </cell>
          <cell r="F12">
            <v>0</v>
          </cell>
          <cell r="G12">
            <v>0</v>
          </cell>
          <cell r="H12">
            <v>6.2</v>
          </cell>
          <cell r="L12">
            <v>694400</v>
          </cell>
          <cell r="M12">
            <v>6.2</v>
          </cell>
          <cell r="N12">
            <v>694400</v>
          </cell>
          <cell r="O12">
            <v>6.2</v>
          </cell>
          <cell r="P12">
            <v>694400</v>
          </cell>
          <cell r="R12">
            <v>0</v>
          </cell>
          <cell r="S12">
            <v>6.2</v>
          </cell>
          <cell r="T12">
            <v>694400</v>
          </cell>
          <cell r="U12">
            <v>0</v>
          </cell>
          <cell r="V12">
            <v>0</v>
          </cell>
        </row>
        <row r="13">
          <cell r="B13">
            <v>7</v>
          </cell>
          <cell r="C13" t="str">
            <v>Thịt ba chỉ</v>
          </cell>
          <cell r="D13" t="str">
            <v>Kg</v>
          </cell>
          <cell r="E13">
            <v>145000</v>
          </cell>
          <cell r="F13">
            <v>0</v>
          </cell>
          <cell r="G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B14">
            <v>8</v>
          </cell>
          <cell r="C14" t="str">
            <v>Thịt lợn xay</v>
          </cell>
          <cell r="D14" t="str">
            <v>Kg</v>
          </cell>
          <cell r="E14">
            <v>95000</v>
          </cell>
          <cell r="F14">
            <v>0</v>
          </cell>
          <cell r="G14">
            <v>0</v>
          </cell>
          <cell r="H14">
            <v>0.1</v>
          </cell>
          <cell r="J14">
            <v>6</v>
          </cell>
          <cell r="L14">
            <v>579500</v>
          </cell>
          <cell r="M14">
            <v>6.1</v>
          </cell>
          <cell r="N14">
            <v>579500</v>
          </cell>
          <cell r="O14">
            <v>6.1</v>
          </cell>
          <cell r="P14">
            <v>579500</v>
          </cell>
          <cell r="R14">
            <v>0</v>
          </cell>
          <cell r="S14">
            <v>6.1</v>
          </cell>
          <cell r="T14">
            <v>579500</v>
          </cell>
          <cell r="U14">
            <v>0</v>
          </cell>
          <cell r="V14">
            <v>0</v>
          </cell>
        </row>
        <row r="15">
          <cell r="B15">
            <v>9</v>
          </cell>
          <cell r="C15" t="str">
            <v>Thịt đầu</v>
          </cell>
          <cell r="D15" t="str">
            <v>Kg</v>
          </cell>
          <cell r="E15">
            <v>111000</v>
          </cell>
          <cell r="F15">
            <v>0</v>
          </cell>
          <cell r="G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>
            <v>10</v>
          </cell>
          <cell r="C16" t="str">
            <v>Thịt tai</v>
          </cell>
          <cell r="D16" t="str">
            <v>Kg</v>
          </cell>
          <cell r="E16">
            <v>134000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B17">
            <v>11</v>
          </cell>
          <cell r="C17" t="str">
            <v>Mỡ lợn</v>
          </cell>
          <cell r="D17" t="str">
            <v>Kg</v>
          </cell>
          <cell r="E17">
            <v>56000</v>
          </cell>
          <cell r="F17">
            <v>0</v>
          </cell>
          <cell r="G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>
            <v>12</v>
          </cell>
          <cell r="C18" t="str">
            <v>Sườn thẻ</v>
          </cell>
          <cell r="D18" t="str">
            <v>Kg</v>
          </cell>
          <cell r="E18">
            <v>161000</v>
          </cell>
          <cell r="F18">
            <v>0</v>
          </cell>
          <cell r="G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>
            <v>13</v>
          </cell>
          <cell r="C19" t="str">
            <v>Sườn thăn</v>
          </cell>
          <cell r="D19" t="str">
            <v>Kg</v>
          </cell>
          <cell r="E19">
            <v>111000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>
            <v>14</v>
          </cell>
          <cell r="C20" t="str">
            <v>Tim</v>
          </cell>
          <cell r="D20" t="str">
            <v>Kg</v>
          </cell>
          <cell r="E20">
            <v>167000</v>
          </cell>
          <cell r="F20">
            <v>0</v>
          </cell>
          <cell r="G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>
            <v>15</v>
          </cell>
          <cell r="C21" t="str">
            <v>Gan</v>
          </cell>
          <cell r="D21" t="str">
            <v>Kg</v>
          </cell>
          <cell r="E21">
            <v>55000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>
            <v>16</v>
          </cell>
          <cell r="C22" t="str">
            <v>Thịt bê</v>
          </cell>
          <cell r="D22" t="str">
            <v>Kg</v>
          </cell>
          <cell r="E22">
            <v>230000</v>
          </cell>
          <cell r="F22">
            <v>0</v>
          </cell>
          <cell r="G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B23">
            <v>17</v>
          </cell>
          <cell r="C23" t="str">
            <v>Xương ống</v>
          </cell>
          <cell r="D23" t="str">
            <v>Kg</v>
          </cell>
          <cell r="E23">
            <v>67000</v>
          </cell>
          <cell r="F23">
            <v>0</v>
          </cell>
          <cell r="G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B24">
            <v>18</v>
          </cell>
          <cell r="C24" t="str">
            <v>Xương đầu</v>
          </cell>
          <cell r="D24" t="str">
            <v>Kg</v>
          </cell>
          <cell r="E24">
            <v>50000</v>
          </cell>
          <cell r="F24">
            <v>0</v>
          </cell>
          <cell r="G24">
            <v>0</v>
          </cell>
          <cell r="H24">
            <v>7</v>
          </cell>
          <cell r="L24">
            <v>350000</v>
          </cell>
          <cell r="M24">
            <v>7</v>
          </cell>
          <cell r="N24">
            <v>350000</v>
          </cell>
          <cell r="O24">
            <v>7</v>
          </cell>
          <cell r="P24">
            <v>350000</v>
          </cell>
          <cell r="R24">
            <v>0</v>
          </cell>
          <cell r="S24">
            <v>7</v>
          </cell>
          <cell r="T24">
            <v>350000</v>
          </cell>
          <cell r="U24">
            <v>0</v>
          </cell>
          <cell r="V24">
            <v>0</v>
          </cell>
        </row>
        <row r="25">
          <cell r="B25">
            <v>19</v>
          </cell>
          <cell r="C25" t="str">
            <v>Chân giò trước</v>
          </cell>
          <cell r="D25" t="str">
            <v>Kg</v>
          </cell>
          <cell r="E25">
            <v>100000</v>
          </cell>
          <cell r="F25">
            <v>0</v>
          </cell>
          <cell r="G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B26">
            <v>20</v>
          </cell>
          <cell r="C26" t="str">
            <v>Chân giò sau</v>
          </cell>
          <cell r="D26" t="str">
            <v>Kg</v>
          </cell>
          <cell r="E26">
            <v>89000</v>
          </cell>
          <cell r="F26">
            <v>0</v>
          </cell>
          <cell r="G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21</v>
          </cell>
          <cell r="C27" t="str">
            <v>Giò lụa - Chả quế</v>
          </cell>
          <cell r="D27" t="str">
            <v>Kg</v>
          </cell>
          <cell r="E27">
            <v>135000</v>
          </cell>
          <cell r="F27">
            <v>0</v>
          </cell>
          <cell r="G27">
            <v>0</v>
          </cell>
          <cell r="H27">
            <v>8</v>
          </cell>
          <cell r="L27">
            <v>1080000</v>
          </cell>
          <cell r="M27">
            <v>8</v>
          </cell>
          <cell r="N27">
            <v>1080000</v>
          </cell>
          <cell r="O27">
            <v>8</v>
          </cell>
          <cell r="P27">
            <v>1080000</v>
          </cell>
          <cell r="R27">
            <v>0</v>
          </cell>
          <cell r="S27">
            <v>8</v>
          </cell>
          <cell r="T27">
            <v>1080000</v>
          </cell>
          <cell r="U27">
            <v>0</v>
          </cell>
          <cell r="V27">
            <v>0</v>
          </cell>
        </row>
        <row r="28">
          <cell r="B28">
            <v>22</v>
          </cell>
          <cell r="C28" t="str">
            <v>Thịt bò loại 1 (bò đùi)</v>
          </cell>
          <cell r="D28" t="str">
            <v>Kg</v>
          </cell>
          <cell r="E28">
            <v>277000</v>
          </cell>
          <cell r="F28">
            <v>0</v>
          </cell>
          <cell r="G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B29">
            <v>23</v>
          </cell>
          <cell r="C29" t="str">
            <v>Thịt bò loại 2 (bò bắp)</v>
          </cell>
          <cell r="D29" t="str">
            <v>Kg</v>
          </cell>
          <cell r="E29">
            <v>245000</v>
          </cell>
          <cell r="F29">
            <v>0</v>
          </cell>
          <cell r="G29">
            <v>0</v>
          </cell>
          <cell r="H29">
            <v>5.4</v>
          </cell>
          <cell r="L29">
            <v>1323000</v>
          </cell>
          <cell r="M29">
            <v>5.4</v>
          </cell>
          <cell r="N29">
            <v>1323000</v>
          </cell>
          <cell r="O29">
            <v>5.4</v>
          </cell>
          <cell r="P29">
            <v>1323000</v>
          </cell>
          <cell r="R29">
            <v>0</v>
          </cell>
          <cell r="S29">
            <v>5.4</v>
          </cell>
          <cell r="T29">
            <v>1323000</v>
          </cell>
          <cell r="U29">
            <v>0</v>
          </cell>
          <cell r="V29">
            <v>0</v>
          </cell>
        </row>
        <row r="30">
          <cell r="B30">
            <v>24</v>
          </cell>
          <cell r="C30" t="str">
            <v>Thịt bò loại 3</v>
          </cell>
          <cell r="D30" t="str">
            <v>Kg</v>
          </cell>
          <cell r="E30">
            <v>200000</v>
          </cell>
          <cell r="F30">
            <v>0</v>
          </cell>
          <cell r="G30">
            <v>0</v>
          </cell>
          <cell r="H30">
            <v>0.5</v>
          </cell>
          <cell r="L30">
            <v>100000</v>
          </cell>
          <cell r="M30">
            <v>0.5</v>
          </cell>
          <cell r="N30">
            <v>100000</v>
          </cell>
          <cell r="O30">
            <v>0.5</v>
          </cell>
          <cell r="P30">
            <v>100000</v>
          </cell>
          <cell r="R30">
            <v>0</v>
          </cell>
          <cell r="S30">
            <v>0.5</v>
          </cell>
          <cell r="T30">
            <v>100000</v>
          </cell>
          <cell r="U30">
            <v>0</v>
          </cell>
          <cell r="V30">
            <v>0</v>
          </cell>
        </row>
        <row r="31">
          <cell r="B31">
            <v>25</v>
          </cell>
          <cell r="C31" t="str">
            <v>Gà trống loại 1</v>
          </cell>
          <cell r="D31" t="str">
            <v>Kg</v>
          </cell>
          <cell r="E31">
            <v>155000</v>
          </cell>
          <cell r="F31">
            <v>0</v>
          </cell>
          <cell r="G31">
            <v>0</v>
          </cell>
          <cell r="J31">
            <v>35.6</v>
          </cell>
          <cell r="L31">
            <v>5518000</v>
          </cell>
          <cell r="M31">
            <v>35.6</v>
          </cell>
          <cell r="N31">
            <v>5518000</v>
          </cell>
          <cell r="O31">
            <v>35.6</v>
          </cell>
          <cell r="P31">
            <v>5518000</v>
          </cell>
          <cell r="R31">
            <v>0</v>
          </cell>
          <cell r="S31">
            <v>35.6</v>
          </cell>
          <cell r="T31">
            <v>5518000</v>
          </cell>
          <cell r="U31">
            <v>0</v>
          </cell>
          <cell r="V31">
            <v>0</v>
          </cell>
        </row>
        <row r="32">
          <cell r="B32">
            <v>26</v>
          </cell>
          <cell r="C32" t="str">
            <v>Gà trống loại 2 (Gà CN)</v>
          </cell>
          <cell r="D32" t="str">
            <v>Kg</v>
          </cell>
          <cell r="E32">
            <v>73000</v>
          </cell>
          <cell r="F32">
            <v>0</v>
          </cell>
          <cell r="G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>
            <v>27</v>
          </cell>
          <cell r="C33" t="str">
            <v>Gà mái loại 1</v>
          </cell>
          <cell r="D33" t="str">
            <v>Kg</v>
          </cell>
          <cell r="E33">
            <v>160000</v>
          </cell>
          <cell r="F33">
            <v>0</v>
          </cell>
          <cell r="G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>
            <v>28</v>
          </cell>
          <cell r="C34" t="str">
            <v>Gà mái loại 2 (Gà CN)</v>
          </cell>
          <cell r="D34" t="str">
            <v>Kg</v>
          </cell>
          <cell r="E34">
            <v>78000</v>
          </cell>
          <cell r="F34">
            <v>0</v>
          </cell>
          <cell r="G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>
            <v>29</v>
          </cell>
          <cell r="C35" t="str">
            <v>Gà CN làm sạch</v>
          </cell>
          <cell r="D35" t="str">
            <v>Kg</v>
          </cell>
          <cell r="E35">
            <v>100000</v>
          </cell>
          <cell r="F35">
            <v>0</v>
          </cell>
          <cell r="G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>
            <v>30</v>
          </cell>
          <cell r="C36" t="str">
            <v>Cá lóc</v>
          </cell>
          <cell r="D36" t="str">
            <v>Kg</v>
          </cell>
          <cell r="E36">
            <v>70000</v>
          </cell>
          <cell r="F36">
            <v>0</v>
          </cell>
          <cell r="G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>
            <v>31</v>
          </cell>
          <cell r="C37" t="str">
            <v>Chả quế</v>
          </cell>
          <cell r="D37" t="str">
            <v>Kg</v>
          </cell>
          <cell r="E37">
            <v>135000</v>
          </cell>
          <cell r="F37">
            <v>0</v>
          </cell>
          <cell r="G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>
            <v>32</v>
          </cell>
          <cell r="C38" t="str">
            <v>Cá chép L1</v>
          </cell>
          <cell r="D38" t="str">
            <v>Kg</v>
          </cell>
          <cell r="E38">
            <v>56000</v>
          </cell>
          <cell r="F38">
            <v>0</v>
          </cell>
          <cell r="G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33</v>
          </cell>
          <cell r="C39" t="str">
            <v>Cá chép L2</v>
          </cell>
          <cell r="D39" t="str">
            <v>Kg</v>
          </cell>
          <cell r="E39">
            <v>36000</v>
          </cell>
          <cell r="F39">
            <v>0</v>
          </cell>
          <cell r="G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B40">
            <v>34</v>
          </cell>
          <cell r="C40" t="str">
            <v>Cá diêu hồng</v>
          </cell>
          <cell r="D40" t="str">
            <v>Kg</v>
          </cell>
          <cell r="E40">
            <v>70000</v>
          </cell>
          <cell r="F40">
            <v>0</v>
          </cell>
          <cell r="G40">
            <v>0</v>
          </cell>
          <cell r="J40">
            <v>16</v>
          </cell>
          <cell r="L40">
            <v>1120000</v>
          </cell>
          <cell r="M40">
            <v>16</v>
          </cell>
          <cell r="N40">
            <v>1120000</v>
          </cell>
          <cell r="O40">
            <v>16</v>
          </cell>
          <cell r="P40">
            <v>1120000</v>
          </cell>
          <cell r="R40">
            <v>0</v>
          </cell>
          <cell r="S40">
            <v>16</v>
          </cell>
          <cell r="T40">
            <v>1120000</v>
          </cell>
          <cell r="U40">
            <v>0</v>
          </cell>
          <cell r="V40">
            <v>0</v>
          </cell>
        </row>
        <row r="41">
          <cell r="B41">
            <v>35</v>
          </cell>
          <cell r="C41" t="str">
            <v>Cá trôi</v>
          </cell>
          <cell r="D41" t="str">
            <v>Kg</v>
          </cell>
          <cell r="F41">
            <v>0</v>
          </cell>
          <cell r="G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>
            <v>36</v>
          </cell>
          <cell r="C42" t="str">
            <v>Cá trắm</v>
          </cell>
          <cell r="D42" t="str">
            <v>Kg</v>
          </cell>
          <cell r="F42">
            <v>0</v>
          </cell>
          <cell r="G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>
            <v>37</v>
          </cell>
          <cell r="C43" t="str">
            <v>Cá mè</v>
          </cell>
          <cell r="D43" t="str">
            <v>Kg</v>
          </cell>
          <cell r="F43">
            <v>0</v>
          </cell>
          <cell r="G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B44">
            <v>38</v>
          </cell>
          <cell r="C44" t="str">
            <v>Cá rô phi</v>
          </cell>
          <cell r="D44" t="str">
            <v>Kg</v>
          </cell>
          <cell r="E44">
            <v>27000</v>
          </cell>
          <cell r="F44">
            <v>0</v>
          </cell>
          <cell r="G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>
            <v>39</v>
          </cell>
          <cell r="C45" t="str">
            <v>Cua đồng</v>
          </cell>
          <cell r="D45" t="str">
            <v>Kg</v>
          </cell>
          <cell r="E45">
            <v>90000</v>
          </cell>
          <cell r="F45">
            <v>0</v>
          </cell>
          <cell r="G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>
            <v>40</v>
          </cell>
          <cell r="C46" t="str">
            <v>Tôm đồng</v>
          </cell>
          <cell r="D46" t="str">
            <v>Kg</v>
          </cell>
          <cell r="E46">
            <v>110000</v>
          </cell>
          <cell r="F46">
            <v>0</v>
          </cell>
          <cell r="G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B47">
            <v>41</v>
          </cell>
          <cell r="C47" t="str">
            <v>Ếch</v>
          </cell>
          <cell r="D47" t="str">
            <v>Kg</v>
          </cell>
          <cell r="E47">
            <v>78000</v>
          </cell>
          <cell r="F47">
            <v>0</v>
          </cell>
          <cell r="G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>
            <v>42</v>
          </cell>
          <cell r="C48" t="str">
            <v>Lươn</v>
          </cell>
          <cell r="D48" t="str">
            <v>Kg</v>
          </cell>
          <cell r="E48">
            <v>80000</v>
          </cell>
          <cell r="F48">
            <v>0</v>
          </cell>
          <cell r="G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B49">
            <v>43</v>
          </cell>
          <cell r="C49" t="str">
            <v>Cá trê</v>
          </cell>
          <cell r="D49" t="str">
            <v>Kg</v>
          </cell>
          <cell r="E49">
            <v>35000</v>
          </cell>
          <cell r="F49">
            <v>0</v>
          </cell>
          <cell r="G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>
            <v>44</v>
          </cell>
          <cell r="C50" t="str">
            <v>Chả ram tôm đất</v>
          </cell>
          <cell r="D50" t="str">
            <v>Kg</v>
          </cell>
          <cell r="E50">
            <v>120000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45</v>
          </cell>
          <cell r="C51" t="str">
            <v>Hến</v>
          </cell>
          <cell r="D51" t="str">
            <v>Kg</v>
          </cell>
          <cell r="E51">
            <v>125000</v>
          </cell>
          <cell r="F51">
            <v>0</v>
          </cell>
          <cell r="G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>
            <v>46</v>
          </cell>
          <cell r="C52" t="str">
            <v>Cá chim</v>
          </cell>
          <cell r="D52" t="str">
            <v>Kg</v>
          </cell>
          <cell r="E52">
            <v>40000</v>
          </cell>
          <cell r="F52">
            <v>0</v>
          </cell>
          <cell r="G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>
            <v>47</v>
          </cell>
          <cell r="C53" t="str">
            <v>Cá nục xanh</v>
          </cell>
          <cell r="D53" t="str">
            <v>Kg</v>
          </cell>
          <cell r="E53">
            <v>68000</v>
          </cell>
          <cell r="F53">
            <v>0</v>
          </cell>
          <cell r="G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>
            <v>48</v>
          </cell>
          <cell r="C54" t="str">
            <v>Cá nục hấp</v>
          </cell>
          <cell r="D54" t="str">
            <v>Kg</v>
          </cell>
          <cell r="E54">
            <v>90000</v>
          </cell>
          <cell r="F54">
            <v>0</v>
          </cell>
          <cell r="G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>
            <v>49</v>
          </cell>
          <cell r="C55" t="str">
            <v>Cá nục bông</v>
          </cell>
          <cell r="D55" t="str">
            <v>Kg</v>
          </cell>
          <cell r="E55">
            <v>72000</v>
          </cell>
          <cell r="F55">
            <v>0</v>
          </cell>
          <cell r="G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>
            <v>50</v>
          </cell>
          <cell r="C56" t="str">
            <v>Cá nục gai</v>
          </cell>
          <cell r="D56" t="str">
            <v>Kg</v>
          </cell>
          <cell r="E56">
            <v>44000</v>
          </cell>
          <cell r="F56">
            <v>0</v>
          </cell>
          <cell r="G56">
            <v>0</v>
          </cell>
          <cell r="H56">
            <v>11</v>
          </cell>
          <cell r="L56">
            <v>484000</v>
          </cell>
          <cell r="M56">
            <v>11</v>
          </cell>
          <cell r="N56">
            <v>484000</v>
          </cell>
          <cell r="O56">
            <v>11</v>
          </cell>
          <cell r="P56">
            <v>484000</v>
          </cell>
          <cell r="R56">
            <v>0</v>
          </cell>
          <cell r="S56">
            <v>11</v>
          </cell>
          <cell r="T56">
            <v>484000</v>
          </cell>
          <cell r="U56">
            <v>0</v>
          </cell>
          <cell r="V56">
            <v>0</v>
          </cell>
        </row>
        <row r="57">
          <cell r="B57">
            <v>51</v>
          </cell>
          <cell r="C57" t="str">
            <v>Cá ngừ</v>
          </cell>
          <cell r="D57" t="str">
            <v>Kg</v>
          </cell>
          <cell r="E57">
            <v>56000</v>
          </cell>
          <cell r="F57">
            <v>0</v>
          </cell>
          <cell r="G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>
            <v>52</v>
          </cell>
          <cell r="C58" t="str">
            <v>Cá ngừ lát</v>
          </cell>
          <cell r="D58" t="str">
            <v>Kg</v>
          </cell>
          <cell r="E58">
            <v>95000</v>
          </cell>
          <cell r="F58">
            <v>0</v>
          </cell>
          <cell r="G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>
            <v>53</v>
          </cell>
          <cell r="C59" t="str">
            <v>Ốc</v>
          </cell>
          <cell r="D59" t="str">
            <v>Kg</v>
          </cell>
          <cell r="E59">
            <v>67000</v>
          </cell>
          <cell r="F59">
            <v>0</v>
          </cell>
          <cell r="G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>
            <v>54</v>
          </cell>
          <cell r="C60" t="str">
            <v>Cá ngừ hấp</v>
          </cell>
          <cell r="D60" t="str">
            <v>Kg</v>
          </cell>
          <cell r="E60">
            <v>74000</v>
          </cell>
          <cell r="F60">
            <v>0</v>
          </cell>
          <cell r="G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>
            <v>55</v>
          </cell>
          <cell r="C61" t="str">
            <v>Cá hố</v>
          </cell>
          <cell r="D61" t="str">
            <v>Kg</v>
          </cell>
          <cell r="E61">
            <v>125000</v>
          </cell>
          <cell r="F61">
            <v>0</v>
          </cell>
          <cell r="G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>
            <v>56</v>
          </cell>
          <cell r="C62" t="str">
            <v>Cá cam</v>
          </cell>
          <cell r="D62" t="str">
            <v>Kg</v>
          </cell>
          <cell r="E62">
            <v>88000</v>
          </cell>
          <cell r="F62">
            <v>0</v>
          </cell>
          <cell r="G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57</v>
          </cell>
          <cell r="C63" t="str">
            <v>Cá cam lát</v>
          </cell>
          <cell r="D63" t="str">
            <v>Kg</v>
          </cell>
          <cell r="E63">
            <v>115000</v>
          </cell>
          <cell r="F63">
            <v>0</v>
          </cell>
          <cell r="G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B64">
            <v>58</v>
          </cell>
          <cell r="C64" t="str">
            <v>Cá ngân</v>
          </cell>
          <cell r="D64" t="str">
            <v>Kg</v>
          </cell>
          <cell r="E64">
            <v>68000</v>
          </cell>
          <cell r="F64">
            <v>0</v>
          </cell>
          <cell r="G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>
            <v>59</v>
          </cell>
          <cell r="C65" t="str">
            <v>Cá chua</v>
          </cell>
          <cell r="D65" t="str">
            <v>Kg</v>
          </cell>
          <cell r="E65">
            <v>165000</v>
          </cell>
          <cell r="F65">
            <v>0</v>
          </cell>
          <cell r="G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B66">
            <v>60</v>
          </cell>
          <cell r="C66" t="str">
            <v>Cá bốp</v>
          </cell>
          <cell r="D66" t="str">
            <v>Kg</v>
          </cell>
          <cell r="E66">
            <v>225000</v>
          </cell>
          <cell r="F66">
            <v>0</v>
          </cell>
          <cell r="G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B67">
            <v>61</v>
          </cell>
          <cell r="C67" t="str">
            <v>Mực cơm hấp loại 2</v>
          </cell>
          <cell r="D67" t="str">
            <v>Kg</v>
          </cell>
          <cell r="E67">
            <v>125000</v>
          </cell>
          <cell r="F67">
            <v>0</v>
          </cell>
          <cell r="G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>
            <v>62</v>
          </cell>
          <cell r="C68" t="str">
            <v>Cá thu trắng (lát)</v>
          </cell>
          <cell r="D68" t="str">
            <v>Kg</v>
          </cell>
          <cell r="E68">
            <v>250000</v>
          </cell>
          <cell r="F68">
            <v>0</v>
          </cell>
          <cell r="G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>
            <v>63</v>
          </cell>
          <cell r="C69" t="str">
            <v>Cá thu đen (lát)</v>
          </cell>
          <cell r="D69" t="str">
            <v>Kg</v>
          </cell>
          <cell r="E69">
            <v>190000</v>
          </cell>
          <cell r="F69">
            <v>0</v>
          </cell>
          <cell r="G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B70">
            <v>64</v>
          </cell>
          <cell r="C70" t="str">
            <v>Tôm loại 1</v>
          </cell>
          <cell r="D70" t="str">
            <v>Kg</v>
          </cell>
          <cell r="E70">
            <v>211000</v>
          </cell>
          <cell r="F70">
            <v>0</v>
          </cell>
          <cell r="G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>
            <v>65</v>
          </cell>
          <cell r="C71" t="str">
            <v>Tôm loại 2</v>
          </cell>
          <cell r="D71" t="str">
            <v>Kg</v>
          </cell>
          <cell r="E71">
            <v>142000</v>
          </cell>
          <cell r="F71">
            <v>0</v>
          </cell>
          <cell r="G71">
            <v>0</v>
          </cell>
          <cell r="H71">
            <v>5.4</v>
          </cell>
          <cell r="L71">
            <v>766800</v>
          </cell>
          <cell r="M71">
            <v>5.4</v>
          </cell>
          <cell r="N71">
            <v>766800</v>
          </cell>
          <cell r="O71">
            <v>5.4</v>
          </cell>
          <cell r="P71">
            <v>766800</v>
          </cell>
          <cell r="R71">
            <v>0</v>
          </cell>
          <cell r="S71">
            <v>5.4</v>
          </cell>
          <cell r="T71">
            <v>766800</v>
          </cell>
          <cell r="U71">
            <v>0</v>
          </cell>
          <cell r="V71">
            <v>0</v>
          </cell>
        </row>
        <row r="72">
          <cell r="B72">
            <v>66</v>
          </cell>
          <cell r="C72" t="str">
            <v>Mực cơm hấp loại 1</v>
          </cell>
          <cell r="D72" t="str">
            <v>Kg</v>
          </cell>
          <cell r="E72">
            <v>250000</v>
          </cell>
          <cell r="F72">
            <v>0</v>
          </cell>
          <cell r="G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>
            <v>67</v>
          </cell>
          <cell r="C73" t="str">
            <v>Mực ống</v>
          </cell>
          <cell r="D73" t="str">
            <v>Kg</v>
          </cell>
          <cell r="E73">
            <v>225000</v>
          </cell>
          <cell r="F73">
            <v>0</v>
          </cell>
          <cell r="G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B74">
            <v>68</v>
          </cell>
          <cell r="C74" t="str">
            <v>Chả cá L1</v>
          </cell>
          <cell r="D74" t="str">
            <v>Kg</v>
          </cell>
          <cell r="E74">
            <v>80000</v>
          </cell>
          <cell r="F74">
            <v>0</v>
          </cell>
          <cell r="G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69</v>
          </cell>
          <cell r="C75" t="str">
            <v>Chả cá L2</v>
          </cell>
          <cell r="D75" t="str">
            <v>Kg</v>
          </cell>
          <cell r="E75">
            <v>70000</v>
          </cell>
          <cell r="F75">
            <v>0</v>
          </cell>
          <cell r="G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>
            <v>70</v>
          </cell>
          <cell r="C76" t="str">
            <v>Cá cơm khô L1</v>
          </cell>
          <cell r="D76" t="str">
            <v>Kg</v>
          </cell>
          <cell r="E76">
            <v>140000</v>
          </cell>
          <cell r="F76">
            <v>0</v>
          </cell>
          <cell r="G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B77">
            <v>71</v>
          </cell>
          <cell r="C77" t="str">
            <v>Cá cơm khô L2</v>
          </cell>
          <cell r="D77" t="str">
            <v>Kg</v>
          </cell>
          <cell r="E77">
            <v>100000</v>
          </cell>
          <cell r="F77">
            <v>0</v>
          </cell>
          <cell r="G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>
            <v>72</v>
          </cell>
          <cell r="C78" t="str">
            <v>Cá cơm tươi</v>
          </cell>
          <cell r="D78" t="str">
            <v>Kg</v>
          </cell>
          <cell r="F78">
            <v>0</v>
          </cell>
          <cell r="G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>
            <v>73</v>
          </cell>
          <cell r="C79" t="str">
            <v>Tép khô</v>
          </cell>
          <cell r="D79" t="str">
            <v>Kg</v>
          </cell>
          <cell r="E79">
            <v>150000</v>
          </cell>
          <cell r="G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B80">
            <v>74</v>
          </cell>
          <cell r="C80" t="str">
            <v>Trứng vịt thường (15)</v>
          </cell>
          <cell r="D80" t="str">
            <v>Kg</v>
          </cell>
          <cell r="E80">
            <v>52500</v>
          </cell>
          <cell r="F80">
            <v>13.4</v>
          </cell>
          <cell r="G80">
            <v>703500</v>
          </cell>
          <cell r="L80">
            <v>0</v>
          </cell>
          <cell r="M80">
            <v>0</v>
          </cell>
          <cell r="N80">
            <v>0</v>
          </cell>
          <cell r="O80">
            <v>6.5</v>
          </cell>
          <cell r="P80">
            <v>341250</v>
          </cell>
          <cell r="R80">
            <v>0</v>
          </cell>
          <cell r="S80">
            <v>6.5</v>
          </cell>
          <cell r="T80">
            <v>341250</v>
          </cell>
          <cell r="U80">
            <v>6.9</v>
          </cell>
          <cell r="V80">
            <v>362250</v>
          </cell>
        </row>
        <row r="81">
          <cell r="B81">
            <v>75</v>
          </cell>
          <cell r="C81" t="str">
            <v>Trứng vịt lộn (15)</v>
          </cell>
          <cell r="D81" t="str">
            <v>Kg</v>
          </cell>
          <cell r="E81">
            <v>75000</v>
          </cell>
          <cell r="F81">
            <v>0</v>
          </cell>
          <cell r="G81">
            <v>0</v>
          </cell>
          <cell r="H81">
            <v>0.6</v>
          </cell>
          <cell r="J81">
            <v>12.6</v>
          </cell>
          <cell r="L81">
            <v>990000</v>
          </cell>
          <cell r="M81">
            <v>13.2</v>
          </cell>
          <cell r="N81">
            <v>990000</v>
          </cell>
          <cell r="O81">
            <v>13.2</v>
          </cell>
          <cell r="P81">
            <v>990000</v>
          </cell>
          <cell r="R81">
            <v>0</v>
          </cell>
          <cell r="S81">
            <v>13.2</v>
          </cell>
          <cell r="T81">
            <v>990000</v>
          </cell>
          <cell r="U81">
            <v>0</v>
          </cell>
          <cell r="V81">
            <v>0</v>
          </cell>
        </row>
        <row r="82">
          <cell r="B82">
            <v>76</v>
          </cell>
          <cell r="C82" t="str">
            <v>Trứng gà CN (16)</v>
          </cell>
          <cell r="D82" t="str">
            <v>Kg</v>
          </cell>
          <cell r="E82">
            <v>46000</v>
          </cell>
          <cell r="F82">
            <v>0</v>
          </cell>
          <cell r="G82">
            <v>0</v>
          </cell>
          <cell r="H82">
            <v>0.4</v>
          </cell>
          <cell r="L82">
            <v>18400</v>
          </cell>
          <cell r="M82">
            <v>0.4</v>
          </cell>
          <cell r="N82">
            <v>18400</v>
          </cell>
          <cell r="O82">
            <v>0.4</v>
          </cell>
          <cell r="P82">
            <v>18400</v>
          </cell>
          <cell r="R82">
            <v>0</v>
          </cell>
          <cell r="S82">
            <v>0.4</v>
          </cell>
          <cell r="T82">
            <v>18400</v>
          </cell>
          <cell r="U82">
            <v>0</v>
          </cell>
          <cell r="V82">
            <v>0</v>
          </cell>
        </row>
        <row r="83">
          <cell r="B83">
            <v>77</v>
          </cell>
          <cell r="C83" t="str">
            <v>Trứng cút (100)</v>
          </cell>
          <cell r="D83" t="str">
            <v>Kg</v>
          </cell>
          <cell r="E83">
            <v>80000</v>
          </cell>
          <cell r="F83">
            <v>0</v>
          </cell>
          <cell r="G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B84">
            <v>78</v>
          </cell>
          <cell r="C84" t="str">
            <v>Bò kho</v>
          </cell>
          <cell r="D84" t="str">
            <v>Kg</v>
          </cell>
          <cell r="E84">
            <v>12000</v>
          </cell>
          <cell r="F84">
            <v>0</v>
          </cell>
          <cell r="G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B85">
            <v>79</v>
          </cell>
          <cell r="C85" t="str">
            <v>Đa nem</v>
          </cell>
          <cell r="D85" t="str">
            <v>Tệp</v>
          </cell>
          <cell r="E85">
            <v>40000</v>
          </cell>
          <cell r="F85">
            <v>0</v>
          </cell>
          <cell r="G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B86">
            <v>80</v>
          </cell>
          <cell r="C86" t="str">
            <v>Mỳ chính</v>
          </cell>
          <cell r="D86" t="str">
            <v>Kg</v>
          </cell>
          <cell r="E86">
            <v>63000</v>
          </cell>
          <cell r="F86">
            <v>0.6</v>
          </cell>
          <cell r="G86">
            <v>37800</v>
          </cell>
          <cell r="J86">
            <v>10</v>
          </cell>
          <cell r="L86">
            <v>630000</v>
          </cell>
          <cell r="M86">
            <v>10</v>
          </cell>
          <cell r="N86">
            <v>630000</v>
          </cell>
          <cell r="O86">
            <v>0.5</v>
          </cell>
          <cell r="P86">
            <v>31500</v>
          </cell>
          <cell r="R86">
            <v>0</v>
          </cell>
          <cell r="S86">
            <v>0.5</v>
          </cell>
          <cell r="T86">
            <v>31500</v>
          </cell>
          <cell r="U86">
            <v>10.1</v>
          </cell>
          <cell r="V86">
            <v>636300</v>
          </cell>
        </row>
        <row r="87">
          <cell r="B87">
            <v>81</v>
          </cell>
          <cell r="C87" t="str">
            <v>Bột mỳ</v>
          </cell>
          <cell r="D87" t="str">
            <v>Kg</v>
          </cell>
          <cell r="E87">
            <v>24000</v>
          </cell>
          <cell r="F87">
            <v>0</v>
          </cell>
          <cell r="G87">
            <v>0</v>
          </cell>
          <cell r="H87">
            <v>2.2999999999999998</v>
          </cell>
          <cell r="L87">
            <v>55199.999999999993</v>
          </cell>
          <cell r="M87">
            <v>2.2999999999999998</v>
          </cell>
          <cell r="N87">
            <v>55199.999999999993</v>
          </cell>
          <cell r="O87">
            <v>2.2999999999999998</v>
          </cell>
          <cell r="P87">
            <v>55199.999999999993</v>
          </cell>
          <cell r="R87">
            <v>0</v>
          </cell>
          <cell r="S87">
            <v>2.2999999999999998</v>
          </cell>
          <cell r="T87">
            <v>55199.999999999993</v>
          </cell>
          <cell r="U87">
            <v>0</v>
          </cell>
          <cell r="V87">
            <v>0</v>
          </cell>
        </row>
        <row r="88">
          <cell r="B88">
            <v>82</v>
          </cell>
          <cell r="C88" t="str">
            <v>Bột chiên giòn Aji-Quick</v>
          </cell>
          <cell r="D88" t="str">
            <v>Gói</v>
          </cell>
          <cell r="E88">
            <v>12000</v>
          </cell>
          <cell r="F88">
            <v>0</v>
          </cell>
          <cell r="G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B89">
            <v>83</v>
          </cell>
          <cell r="C89" t="str">
            <v>Lạc (rang)</v>
          </cell>
          <cell r="D89" t="str">
            <v>Kg</v>
          </cell>
          <cell r="E89">
            <v>65000</v>
          </cell>
          <cell r="F89">
            <v>0</v>
          </cell>
          <cell r="G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B90">
            <v>84</v>
          </cell>
          <cell r="C90" t="str">
            <v>Lạc (chưa rang)</v>
          </cell>
          <cell r="D90" t="str">
            <v>Kg</v>
          </cell>
          <cell r="E90">
            <v>65000</v>
          </cell>
          <cell r="F90">
            <v>0</v>
          </cell>
          <cell r="G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B91">
            <v>85</v>
          </cell>
          <cell r="C91" t="str">
            <v>Vừng rang</v>
          </cell>
          <cell r="D91" t="str">
            <v>Kg</v>
          </cell>
          <cell r="E91">
            <v>120000</v>
          </cell>
          <cell r="G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B92">
            <v>86</v>
          </cell>
          <cell r="C92" t="str">
            <v>Kho cá</v>
          </cell>
          <cell r="D92" t="str">
            <v>Kg</v>
          </cell>
          <cell r="E92">
            <v>12000</v>
          </cell>
          <cell r="F92">
            <v>0</v>
          </cell>
          <cell r="G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B93">
            <v>87</v>
          </cell>
          <cell r="C93" t="str">
            <v>Kho thịt</v>
          </cell>
          <cell r="D93" t="str">
            <v>Kg</v>
          </cell>
          <cell r="E93">
            <v>12000</v>
          </cell>
          <cell r="F93">
            <v>0</v>
          </cell>
          <cell r="G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B94">
            <v>88</v>
          </cell>
          <cell r="C94" t="str">
            <v>Đường trắng</v>
          </cell>
          <cell r="D94" t="str">
            <v>Kg</v>
          </cell>
          <cell r="E94">
            <v>25000</v>
          </cell>
          <cell r="F94">
            <v>1.6</v>
          </cell>
          <cell r="G94">
            <v>40000</v>
          </cell>
          <cell r="L94">
            <v>0</v>
          </cell>
          <cell r="M94">
            <v>0</v>
          </cell>
          <cell r="N94">
            <v>0</v>
          </cell>
          <cell r="O94">
            <v>0.5</v>
          </cell>
          <cell r="P94">
            <v>12500</v>
          </cell>
          <cell r="R94">
            <v>0</v>
          </cell>
          <cell r="S94">
            <v>0.5</v>
          </cell>
          <cell r="T94">
            <v>12500</v>
          </cell>
          <cell r="U94">
            <v>1.1000000000000001</v>
          </cell>
          <cell r="V94">
            <v>27500.000000000004</v>
          </cell>
        </row>
        <row r="95">
          <cell r="B95">
            <v>89</v>
          </cell>
          <cell r="C95" t="str">
            <v>Hành khô</v>
          </cell>
          <cell r="D95" t="str">
            <v>Kg</v>
          </cell>
          <cell r="E95">
            <v>40000</v>
          </cell>
          <cell r="F95">
            <v>0</v>
          </cell>
          <cell r="G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B96">
            <v>90</v>
          </cell>
          <cell r="C96" t="str">
            <v>Tỏi khô</v>
          </cell>
          <cell r="D96" t="str">
            <v>Kg</v>
          </cell>
          <cell r="E96">
            <v>47000</v>
          </cell>
          <cell r="F96">
            <v>4.4000000000000004</v>
          </cell>
          <cell r="G96">
            <v>206800.00000000003</v>
          </cell>
          <cell r="H96">
            <v>0.5</v>
          </cell>
          <cell r="L96">
            <v>23500</v>
          </cell>
          <cell r="M96">
            <v>0.5</v>
          </cell>
          <cell r="N96">
            <v>23500</v>
          </cell>
          <cell r="O96">
            <v>0.4</v>
          </cell>
          <cell r="P96">
            <v>18800</v>
          </cell>
          <cell r="R96">
            <v>0</v>
          </cell>
          <cell r="S96">
            <v>0.4</v>
          </cell>
          <cell r="T96">
            <v>18800</v>
          </cell>
          <cell r="U96">
            <v>4.5</v>
          </cell>
          <cell r="V96">
            <v>211500</v>
          </cell>
        </row>
        <row r="97">
          <cell r="B97">
            <v>91</v>
          </cell>
          <cell r="C97" t="str">
            <v>Dấm</v>
          </cell>
          <cell r="D97" t="str">
            <v>Lít</v>
          </cell>
          <cell r="E97">
            <v>9000</v>
          </cell>
          <cell r="F97">
            <v>0</v>
          </cell>
          <cell r="G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B98">
            <v>92</v>
          </cell>
          <cell r="C98" t="str">
            <v>Mì tôm Gấu đỏ</v>
          </cell>
          <cell r="D98" t="str">
            <v>Gói</v>
          </cell>
          <cell r="E98">
            <v>3500</v>
          </cell>
          <cell r="G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93</v>
          </cell>
          <cell r="C99" t="str">
            <v>Muối I ốt</v>
          </cell>
          <cell r="D99" t="str">
            <v>Kg</v>
          </cell>
          <cell r="E99">
            <v>9000</v>
          </cell>
          <cell r="F99">
            <v>10</v>
          </cell>
          <cell r="G99">
            <v>90000</v>
          </cell>
          <cell r="L99">
            <v>0</v>
          </cell>
          <cell r="M99">
            <v>0</v>
          </cell>
          <cell r="N99">
            <v>0</v>
          </cell>
          <cell r="O99">
            <v>1</v>
          </cell>
          <cell r="P99">
            <v>9000</v>
          </cell>
          <cell r="R99">
            <v>0</v>
          </cell>
          <cell r="S99">
            <v>1</v>
          </cell>
          <cell r="T99">
            <v>9000</v>
          </cell>
          <cell r="U99">
            <v>9</v>
          </cell>
          <cell r="V99">
            <v>81000</v>
          </cell>
        </row>
        <row r="100">
          <cell r="B100">
            <v>94</v>
          </cell>
          <cell r="C100" t="str">
            <v>Miến</v>
          </cell>
          <cell r="D100" t="str">
            <v>Kg</v>
          </cell>
          <cell r="E100">
            <v>80000</v>
          </cell>
          <cell r="F100">
            <v>0</v>
          </cell>
          <cell r="G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B101">
            <v>95</v>
          </cell>
          <cell r="C101" t="str">
            <v>Nấm mèo</v>
          </cell>
          <cell r="D101" t="str">
            <v>Kg</v>
          </cell>
          <cell r="E101">
            <v>155000</v>
          </cell>
          <cell r="F101">
            <v>0</v>
          </cell>
          <cell r="G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B102">
            <v>96</v>
          </cell>
          <cell r="C102" t="str">
            <v>Tiêu bột</v>
          </cell>
          <cell r="D102" t="str">
            <v>Kg</v>
          </cell>
          <cell r="E102">
            <v>230000</v>
          </cell>
          <cell r="G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B103">
            <v>97</v>
          </cell>
          <cell r="C103" t="str">
            <v>Ớt bột</v>
          </cell>
          <cell r="D103" t="str">
            <v>Kg</v>
          </cell>
          <cell r="E103">
            <v>90000</v>
          </cell>
          <cell r="F103">
            <v>0</v>
          </cell>
          <cell r="G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B104">
            <v>98</v>
          </cell>
          <cell r="C104" t="str">
            <v>Me chua</v>
          </cell>
          <cell r="D104" t="str">
            <v>Hộp</v>
          </cell>
          <cell r="E104">
            <v>5000</v>
          </cell>
          <cell r="F104">
            <v>0</v>
          </cell>
          <cell r="G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B105">
            <v>99</v>
          </cell>
          <cell r="C105" t="str">
            <v>Sô cô la</v>
          </cell>
          <cell r="D105" t="str">
            <v>Kg</v>
          </cell>
          <cell r="E105">
            <v>100000</v>
          </cell>
          <cell r="F105">
            <v>0</v>
          </cell>
          <cell r="G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B106">
            <v>100</v>
          </cell>
          <cell r="C106" t="str">
            <v>Cà phê</v>
          </cell>
          <cell r="D106" t="str">
            <v>Kg</v>
          </cell>
          <cell r="E106">
            <v>200000</v>
          </cell>
          <cell r="F106">
            <v>0</v>
          </cell>
          <cell r="G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B107">
            <v>101</v>
          </cell>
          <cell r="C107" t="str">
            <v>Dầu ăn Simply</v>
          </cell>
          <cell r="D107" t="str">
            <v>Lít</v>
          </cell>
          <cell r="E107">
            <v>60000</v>
          </cell>
          <cell r="F107">
            <v>0</v>
          </cell>
          <cell r="G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B108">
            <v>102</v>
          </cell>
          <cell r="C108" t="str">
            <v>Dầu ăn Cái Lân</v>
          </cell>
          <cell r="D108" t="str">
            <v>Lít</v>
          </cell>
          <cell r="E108">
            <v>46000</v>
          </cell>
          <cell r="F108">
            <v>37</v>
          </cell>
          <cell r="G108">
            <v>1702000</v>
          </cell>
          <cell r="L108">
            <v>0</v>
          </cell>
          <cell r="M108">
            <v>0</v>
          </cell>
          <cell r="N108">
            <v>0</v>
          </cell>
          <cell r="O108">
            <v>5</v>
          </cell>
          <cell r="P108">
            <v>230000</v>
          </cell>
          <cell r="R108">
            <v>0</v>
          </cell>
          <cell r="S108">
            <v>5</v>
          </cell>
          <cell r="T108">
            <v>230000</v>
          </cell>
          <cell r="U108">
            <v>32</v>
          </cell>
          <cell r="V108">
            <v>1472000</v>
          </cell>
        </row>
        <row r="109">
          <cell r="B109">
            <v>103</v>
          </cell>
          <cell r="C109" t="str">
            <v>Nước mắm Mười Thu</v>
          </cell>
          <cell r="D109" t="str">
            <v>Lít</v>
          </cell>
          <cell r="E109">
            <v>40000</v>
          </cell>
          <cell r="F109">
            <v>0</v>
          </cell>
          <cell r="G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B110">
            <v>104</v>
          </cell>
          <cell r="C110" t="str">
            <v>Nước mắm Nam Ngư STK</v>
          </cell>
          <cell r="D110" t="str">
            <v>Lít</v>
          </cell>
          <cell r="E110">
            <v>14000</v>
          </cell>
          <cell r="F110">
            <v>36</v>
          </cell>
          <cell r="G110">
            <v>504000</v>
          </cell>
          <cell r="L110">
            <v>0</v>
          </cell>
          <cell r="M110">
            <v>0</v>
          </cell>
          <cell r="N110">
            <v>0</v>
          </cell>
          <cell r="O110">
            <v>5</v>
          </cell>
          <cell r="P110">
            <v>70000</v>
          </cell>
          <cell r="R110">
            <v>0</v>
          </cell>
          <cell r="S110">
            <v>5</v>
          </cell>
          <cell r="T110">
            <v>70000</v>
          </cell>
          <cell r="U110">
            <v>31</v>
          </cell>
          <cell r="V110">
            <v>434000</v>
          </cell>
        </row>
        <row r="111">
          <cell r="B111">
            <v>105</v>
          </cell>
          <cell r="C111" t="str">
            <v>Mắm nêm</v>
          </cell>
          <cell r="D111" t="str">
            <v>Chai</v>
          </cell>
          <cell r="E111">
            <v>15000</v>
          </cell>
          <cell r="F111">
            <v>0</v>
          </cell>
          <cell r="G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B112">
            <v>106</v>
          </cell>
          <cell r="C112" t="str">
            <v>Nước khoáng mặn</v>
          </cell>
          <cell r="D112" t="str">
            <v>Lít</v>
          </cell>
          <cell r="E112">
            <v>8000</v>
          </cell>
          <cell r="F112">
            <v>0</v>
          </cell>
          <cell r="G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B113">
            <v>107</v>
          </cell>
          <cell r="C113" t="str">
            <v>Sữa tươi Vinamilk 180ml</v>
          </cell>
          <cell r="D113" t="str">
            <v>Hộp</v>
          </cell>
          <cell r="E113">
            <v>8200</v>
          </cell>
          <cell r="F113">
            <v>24</v>
          </cell>
          <cell r="G113">
            <v>196800</v>
          </cell>
          <cell r="L113">
            <v>0</v>
          </cell>
          <cell r="M113">
            <v>0</v>
          </cell>
          <cell r="N113">
            <v>0</v>
          </cell>
          <cell r="O113">
            <v>8</v>
          </cell>
          <cell r="P113">
            <v>65600</v>
          </cell>
          <cell r="R113">
            <v>0</v>
          </cell>
          <cell r="S113">
            <v>8</v>
          </cell>
          <cell r="T113">
            <v>65600</v>
          </cell>
          <cell r="U113">
            <v>16</v>
          </cell>
          <cell r="V113">
            <v>131200</v>
          </cell>
        </row>
        <row r="114">
          <cell r="B114">
            <v>108</v>
          </cell>
          <cell r="C114" t="str">
            <v>Sữa tươi Vinamilk 110ml</v>
          </cell>
          <cell r="D114" t="str">
            <v>Hộp</v>
          </cell>
          <cell r="E114">
            <v>5200</v>
          </cell>
          <cell r="F114">
            <v>0</v>
          </cell>
          <cell r="G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B115">
            <v>109</v>
          </cell>
          <cell r="C115" t="str">
            <v>Sữa tươi đóng hộp</v>
          </cell>
          <cell r="D115" t="str">
            <v>Lít</v>
          </cell>
          <cell r="E115">
            <v>40000</v>
          </cell>
          <cell r="F115">
            <v>0</v>
          </cell>
          <cell r="G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B116">
            <v>110</v>
          </cell>
          <cell r="C116" t="str">
            <v>Sữa đặc ông Thọ đỏ</v>
          </cell>
          <cell r="D116" t="str">
            <v>Hộp</v>
          </cell>
          <cell r="E116">
            <v>24192</v>
          </cell>
          <cell r="F116">
            <v>0</v>
          </cell>
          <cell r="G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B117">
            <v>111</v>
          </cell>
          <cell r="C117" t="str">
            <v>Cam loại 1</v>
          </cell>
          <cell r="D117" t="str">
            <v>Kg</v>
          </cell>
          <cell r="E117">
            <v>25000</v>
          </cell>
          <cell r="F117">
            <v>0</v>
          </cell>
          <cell r="G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B118">
            <v>112</v>
          </cell>
          <cell r="C118" t="str">
            <v>Xoài</v>
          </cell>
          <cell r="D118" t="str">
            <v>Kg</v>
          </cell>
          <cell r="E118">
            <v>40000</v>
          </cell>
          <cell r="F118">
            <v>0</v>
          </cell>
          <cell r="G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B119">
            <v>113</v>
          </cell>
          <cell r="C119" t="str">
            <v>Nhãn  L1</v>
          </cell>
          <cell r="D119" t="str">
            <v>Kg</v>
          </cell>
          <cell r="E119">
            <v>45000</v>
          </cell>
          <cell r="F119">
            <v>0</v>
          </cell>
          <cell r="G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B120">
            <v>114</v>
          </cell>
          <cell r="C120" t="str">
            <v>Nhãn  L2</v>
          </cell>
          <cell r="D120" t="str">
            <v>Kg</v>
          </cell>
          <cell r="E120">
            <v>35000</v>
          </cell>
          <cell r="F120">
            <v>0</v>
          </cell>
          <cell r="G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B121">
            <v>115</v>
          </cell>
          <cell r="C121" t="str">
            <v>Vải loại 1</v>
          </cell>
          <cell r="D121" t="str">
            <v>Kg</v>
          </cell>
          <cell r="E121">
            <v>45000</v>
          </cell>
          <cell r="F121">
            <v>0</v>
          </cell>
          <cell r="G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B122">
            <v>116</v>
          </cell>
          <cell r="C122" t="str">
            <v>Thanh long L1</v>
          </cell>
          <cell r="D122" t="str">
            <v>Kg</v>
          </cell>
          <cell r="E122">
            <v>35000</v>
          </cell>
          <cell r="F122">
            <v>0</v>
          </cell>
          <cell r="G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117</v>
          </cell>
          <cell r="C123" t="str">
            <v>Thanh long L2</v>
          </cell>
          <cell r="D123" t="str">
            <v>Kg</v>
          </cell>
          <cell r="E123">
            <v>28000</v>
          </cell>
          <cell r="F123">
            <v>0</v>
          </cell>
          <cell r="G123">
            <v>0</v>
          </cell>
          <cell r="H123">
            <v>16</v>
          </cell>
          <cell r="L123">
            <v>448000</v>
          </cell>
          <cell r="M123">
            <v>16</v>
          </cell>
          <cell r="N123">
            <v>448000</v>
          </cell>
          <cell r="O123">
            <v>16</v>
          </cell>
          <cell r="P123">
            <v>448000</v>
          </cell>
          <cell r="R123">
            <v>0</v>
          </cell>
          <cell r="S123">
            <v>16</v>
          </cell>
          <cell r="T123">
            <v>448000</v>
          </cell>
          <cell r="U123">
            <v>0</v>
          </cell>
          <cell r="V123">
            <v>0</v>
          </cell>
        </row>
        <row r="124">
          <cell r="B124">
            <v>118</v>
          </cell>
          <cell r="C124" t="str">
            <v>Dưa thái</v>
          </cell>
          <cell r="D124" t="str">
            <v>Kg</v>
          </cell>
          <cell r="E124">
            <v>30000</v>
          </cell>
          <cell r="F124">
            <v>0</v>
          </cell>
          <cell r="G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B125">
            <v>119</v>
          </cell>
          <cell r="C125" t="str">
            <v>Dưa hấu L1</v>
          </cell>
          <cell r="D125" t="str">
            <v>Kg</v>
          </cell>
          <cell r="E125">
            <v>30000</v>
          </cell>
          <cell r="F125">
            <v>0</v>
          </cell>
          <cell r="G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B126">
            <v>120</v>
          </cell>
          <cell r="C126" t="str">
            <v>Dưa hấu L2</v>
          </cell>
          <cell r="D126" t="str">
            <v>Kg</v>
          </cell>
          <cell r="E126">
            <v>14000</v>
          </cell>
          <cell r="F126">
            <v>0</v>
          </cell>
          <cell r="G126">
            <v>0</v>
          </cell>
          <cell r="H126">
            <v>2</v>
          </cell>
          <cell r="L126">
            <v>28000</v>
          </cell>
          <cell r="M126">
            <v>2</v>
          </cell>
          <cell r="N126">
            <v>28000</v>
          </cell>
          <cell r="O126">
            <v>2</v>
          </cell>
          <cell r="P126">
            <v>28000</v>
          </cell>
          <cell r="R126">
            <v>0</v>
          </cell>
          <cell r="S126">
            <v>2</v>
          </cell>
          <cell r="T126">
            <v>28000</v>
          </cell>
          <cell r="U126">
            <v>0</v>
          </cell>
          <cell r="V126">
            <v>0</v>
          </cell>
        </row>
        <row r="127">
          <cell r="B127">
            <v>121</v>
          </cell>
          <cell r="C127" t="str">
            <v>Nho đen</v>
          </cell>
          <cell r="D127" t="str">
            <v>Kg</v>
          </cell>
          <cell r="E127">
            <v>70000</v>
          </cell>
          <cell r="F127">
            <v>0</v>
          </cell>
          <cell r="G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B128">
            <v>122</v>
          </cell>
          <cell r="C128" t="str">
            <v>Nho VN</v>
          </cell>
          <cell r="D128" t="str">
            <v>Kg</v>
          </cell>
          <cell r="E128">
            <v>30000</v>
          </cell>
          <cell r="F128">
            <v>0</v>
          </cell>
          <cell r="G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B129">
            <v>123</v>
          </cell>
          <cell r="C129" t="str">
            <v>Chôm chôm</v>
          </cell>
          <cell r="D129" t="str">
            <v>Kg</v>
          </cell>
          <cell r="E129">
            <v>30000</v>
          </cell>
          <cell r="F129">
            <v>0</v>
          </cell>
          <cell r="G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B130">
            <v>124</v>
          </cell>
          <cell r="C130" t="str">
            <v>Chuối tiêu</v>
          </cell>
          <cell r="D130" t="str">
            <v>Kg</v>
          </cell>
          <cell r="E130">
            <v>15000</v>
          </cell>
          <cell r="F130">
            <v>0</v>
          </cell>
          <cell r="G130">
            <v>0</v>
          </cell>
          <cell r="H130">
            <v>13.1</v>
          </cell>
          <cell r="L130">
            <v>196500</v>
          </cell>
          <cell r="M130">
            <v>13.1</v>
          </cell>
          <cell r="N130">
            <v>196500</v>
          </cell>
          <cell r="O130">
            <v>13.1</v>
          </cell>
          <cell r="P130">
            <v>196500</v>
          </cell>
          <cell r="R130">
            <v>0</v>
          </cell>
          <cell r="S130">
            <v>13.1</v>
          </cell>
          <cell r="T130">
            <v>196500</v>
          </cell>
          <cell r="U130">
            <v>0</v>
          </cell>
          <cell r="V130">
            <v>0</v>
          </cell>
        </row>
        <row r="131">
          <cell r="B131">
            <v>125</v>
          </cell>
          <cell r="C131" t="str">
            <v>Giò xào</v>
          </cell>
          <cell r="D131" t="str">
            <v>Kg</v>
          </cell>
          <cell r="E131">
            <v>170000</v>
          </cell>
          <cell r="F131">
            <v>0</v>
          </cell>
          <cell r="G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126</v>
          </cell>
          <cell r="C132" t="str">
            <v>Bưởi L1</v>
          </cell>
          <cell r="D132" t="str">
            <v>Kg</v>
          </cell>
          <cell r="E132">
            <v>50000</v>
          </cell>
          <cell r="F132">
            <v>0</v>
          </cell>
          <cell r="G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B133">
            <v>127</v>
          </cell>
          <cell r="C133" t="str">
            <v>Bưởi L2</v>
          </cell>
          <cell r="D133" t="str">
            <v>Kg</v>
          </cell>
          <cell r="E133">
            <v>30000</v>
          </cell>
          <cell r="F133">
            <v>0</v>
          </cell>
          <cell r="G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B134">
            <v>128</v>
          </cell>
          <cell r="C134" t="str">
            <v>Tôm sú</v>
          </cell>
          <cell r="D134" t="str">
            <v>Kg</v>
          </cell>
          <cell r="E134">
            <v>330000</v>
          </cell>
          <cell r="F134">
            <v>0</v>
          </cell>
          <cell r="G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B135">
            <v>129</v>
          </cell>
          <cell r="C135" t="str">
            <v>Gà trống CN loại 1</v>
          </cell>
          <cell r="D135" t="str">
            <v>Kg</v>
          </cell>
          <cell r="E135">
            <v>90000</v>
          </cell>
          <cell r="F135">
            <v>0</v>
          </cell>
          <cell r="G135">
            <v>0</v>
          </cell>
          <cell r="I135">
            <v>2.1</v>
          </cell>
          <cell r="L135">
            <v>0</v>
          </cell>
          <cell r="M135">
            <v>2.1</v>
          </cell>
          <cell r="N135">
            <v>189000</v>
          </cell>
          <cell r="O135">
            <v>2.1</v>
          </cell>
          <cell r="P135">
            <v>189000</v>
          </cell>
          <cell r="R135">
            <v>0</v>
          </cell>
          <cell r="S135">
            <v>2.1</v>
          </cell>
          <cell r="T135">
            <v>189000</v>
          </cell>
          <cell r="U135">
            <v>0</v>
          </cell>
          <cell r="V135">
            <v>0</v>
          </cell>
        </row>
        <row r="136">
          <cell r="B136">
            <v>130</v>
          </cell>
          <cell r="C136" t="str">
            <v>Quýt thái L1</v>
          </cell>
          <cell r="D136" t="str">
            <v>Kg</v>
          </cell>
          <cell r="E136">
            <v>45000</v>
          </cell>
          <cell r="F136">
            <v>0</v>
          </cell>
          <cell r="G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B137">
            <v>131</v>
          </cell>
          <cell r="C137" t="str">
            <v>Quýt thái L2</v>
          </cell>
          <cell r="D137" t="str">
            <v>Kg</v>
          </cell>
          <cell r="E137">
            <v>35000</v>
          </cell>
          <cell r="F137">
            <v>0</v>
          </cell>
          <cell r="G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B138">
            <v>132</v>
          </cell>
          <cell r="C138" t="str">
            <v>Chim cút xay</v>
          </cell>
          <cell r="D138" t="str">
            <v>Kg</v>
          </cell>
          <cell r="E138">
            <v>100000</v>
          </cell>
          <cell r="F138">
            <v>0</v>
          </cell>
          <cell r="G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B139">
            <v>133</v>
          </cell>
          <cell r="C139" t="str">
            <v>Quýt đường L1</v>
          </cell>
          <cell r="D139" t="str">
            <v>Kg</v>
          </cell>
          <cell r="E139">
            <v>45000</v>
          </cell>
          <cell r="F139">
            <v>0</v>
          </cell>
          <cell r="G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B140">
            <v>134</v>
          </cell>
          <cell r="C140" t="str">
            <v>Quýt đường L2</v>
          </cell>
          <cell r="D140" t="str">
            <v>Kg</v>
          </cell>
          <cell r="E140">
            <v>30000</v>
          </cell>
          <cell r="F140">
            <v>0</v>
          </cell>
          <cell r="G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135</v>
          </cell>
          <cell r="C141" t="str">
            <v>Bánh chưng</v>
          </cell>
          <cell r="D141" t="str">
            <v>Kg</v>
          </cell>
          <cell r="E141">
            <v>54000</v>
          </cell>
          <cell r="F141">
            <v>0</v>
          </cell>
          <cell r="G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B142">
            <v>136</v>
          </cell>
          <cell r="C142" t="str">
            <v>Ổi</v>
          </cell>
          <cell r="D142" t="str">
            <v>Kg</v>
          </cell>
          <cell r="E142">
            <v>20000</v>
          </cell>
          <cell r="F142">
            <v>0</v>
          </cell>
          <cell r="G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B143">
            <v>137</v>
          </cell>
          <cell r="C143" t="str">
            <v xml:space="preserve">Mận </v>
          </cell>
          <cell r="D143" t="str">
            <v>Kg</v>
          </cell>
          <cell r="E143">
            <v>35000</v>
          </cell>
          <cell r="F143">
            <v>0</v>
          </cell>
          <cell r="G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B144">
            <v>138</v>
          </cell>
          <cell r="C144" t="str">
            <v>Táo</v>
          </cell>
          <cell r="D144" t="str">
            <v>Kg</v>
          </cell>
          <cell r="E144">
            <v>30000</v>
          </cell>
          <cell r="F144">
            <v>0</v>
          </cell>
          <cell r="G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B145">
            <v>139</v>
          </cell>
          <cell r="C145" t="str">
            <v>Lê</v>
          </cell>
          <cell r="D145" t="str">
            <v>Kg</v>
          </cell>
          <cell r="E145">
            <v>45000</v>
          </cell>
          <cell r="F145">
            <v>0</v>
          </cell>
          <cell r="G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B146">
            <v>140</v>
          </cell>
          <cell r="C146" t="str">
            <v>Đậu phụ</v>
          </cell>
          <cell r="D146" t="str">
            <v>Kg</v>
          </cell>
          <cell r="E146">
            <v>20000</v>
          </cell>
          <cell r="F146">
            <v>0</v>
          </cell>
          <cell r="G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B147">
            <v>141</v>
          </cell>
          <cell r="C147" t="str">
            <v>Dưa chua</v>
          </cell>
          <cell r="D147" t="str">
            <v>Kg</v>
          </cell>
          <cell r="E147">
            <v>20000</v>
          </cell>
          <cell r="F147">
            <v>0</v>
          </cell>
          <cell r="G147">
            <v>0</v>
          </cell>
          <cell r="I147">
            <v>1.7</v>
          </cell>
          <cell r="L147">
            <v>0</v>
          </cell>
          <cell r="M147">
            <v>1.7</v>
          </cell>
          <cell r="N147">
            <v>34000</v>
          </cell>
          <cell r="O147">
            <v>1.7</v>
          </cell>
          <cell r="P147">
            <v>34000</v>
          </cell>
          <cell r="R147">
            <v>0</v>
          </cell>
          <cell r="S147">
            <v>1.7</v>
          </cell>
          <cell r="T147">
            <v>34000</v>
          </cell>
          <cell r="U147">
            <v>0</v>
          </cell>
          <cell r="V147">
            <v>0</v>
          </cell>
        </row>
        <row r="148">
          <cell r="B148">
            <v>142</v>
          </cell>
          <cell r="C148" t="str">
            <v>Dưa chua quả</v>
          </cell>
          <cell r="D148" t="str">
            <v>Kg</v>
          </cell>
          <cell r="E148">
            <v>15000</v>
          </cell>
          <cell r="F148">
            <v>0</v>
          </cell>
          <cell r="G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B149">
            <v>143</v>
          </cell>
          <cell r="C149" t="str">
            <v xml:space="preserve">Măng thái </v>
          </cell>
          <cell r="D149" t="str">
            <v>Kg</v>
          </cell>
          <cell r="E149">
            <v>40000</v>
          </cell>
          <cell r="F149">
            <v>0</v>
          </cell>
          <cell r="G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B150">
            <v>144</v>
          </cell>
          <cell r="C150" t="str">
            <v>Bắp cải trắng</v>
          </cell>
          <cell r="D150" t="str">
            <v>Kg</v>
          </cell>
          <cell r="E150">
            <v>15000</v>
          </cell>
          <cell r="F150">
            <v>0</v>
          </cell>
          <cell r="G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145</v>
          </cell>
          <cell r="C151" t="str">
            <v>Súp lơ xanh</v>
          </cell>
          <cell r="D151" t="str">
            <v>Cây</v>
          </cell>
          <cell r="E151">
            <v>16000</v>
          </cell>
          <cell r="F151">
            <v>0</v>
          </cell>
          <cell r="G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B152">
            <v>146</v>
          </cell>
          <cell r="C152" t="str">
            <v>Súp lơ trắng</v>
          </cell>
          <cell r="D152" t="str">
            <v>Cây</v>
          </cell>
          <cell r="E152">
            <v>22000</v>
          </cell>
          <cell r="F152">
            <v>0</v>
          </cell>
          <cell r="G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B153">
            <v>147</v>
          </cell>
          <cell r="C153" t="str">
            <v>Su su quả</v>
          </cell>
          <cell r="D153" t="str">
            <v>Kg</v>
          </cell>
          <cell r="E153">
            <v>14000</v>
          </cell>
          <cell r="F153">
            <v>0</v>
          </cell>
          <cell r="G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B154">
            <v>148</v>
          </cell>
          <cell r="C154" t="str">
            <v>Su su thái</v>
          </cell>
          <cell r="D154" t="str">
            <v>Kg</v>
          </cell>
          <cell r="E154">
            <v>16000</v>
          </cell>
          <cell r="F154">
            <v>0</v>
          </cell>
          <cell r="G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B155">
            <v>149</v>
          </cell>
          <cell r="C155" t="str">
            <v>Bầu</v>
          </cell>
          <cell r="D155" t="str">
            <v>Kg</v>
          </cell>
          <cell r="E155">
            <v>16000</v>
          </cell>
          <cell r="F155">
            <v>0</v>
          </cell>
          <cell r="G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B156">
            <v>150</v>
          </cell>
          <cell r="C156" t="str">
            <v>Bí đỏ</v>
          </cell>
          <cell r="D156" t="str">
            <v>Kg</v>
          </cell>
          <cell r="E156">
            <v>12000</v>
          </cell>
          <cell r="F156">
            <v>0</v>
          </cell>
          <cell r="G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B157">
            <v>151</v>
          </cell>
          <cell r="C157" t="str">
            <v>Bí xanh L1</v>
          </cell>
          <cell r="D157" t="str">
            <v>Kg</v>
          </cell>
          <cell r="E157">
            <v>10000</v>
          </cell>
          <cell r="F157">
            <v>0</v>
          </cell>
          <cell r="G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B158">
            <v>152</v>
          </cell>
          <cell r="C158" t="str">
            <v>Bí xanh L2</v>
          </cell>
          <cell r="D158" t="str">
            <v>Kg</v>
          </cell>
          <cell r="E158">
            <v>8000</v>
          </cell>
          <cell r="F158">
            <v>0</v>
          </cell>
          <cell r="G158">
            <v>0</v>
          </cell>
          <cell r="H158">
            <v>9</v>
          </cell>
          <cell r="L158">
            <v>72000</v>
          </cell>
          <cell r="M158">
            <v>9</v>
          </cell>
          <cell r="N158">
            <v>72000</v>
          </cell>
          <cell r="O158">
            <v>9</v>
          </cell>
          <cell r="P158">
            <v>72000</v>
          </cell>
          <cell r="R158">
            <v>0</v>
          </cell>
          <cell r="S158">
            <v>9</v>
          </cell>
          <cell r="T158">
            <v>72000</v>
          </cell>
          <cell r="U158">
            <v>0</v>
          </cell>
          <cell r="V158">
            <v>0</v>
          </cell>
        </row>
        <row r="159">
          <cell r="B159">
            <v>153</v>
          </cell>
          <cell r="C159" t="str">
            <v>Cà bát</v>
          </cell>
          <cell r="D159" t="str">
            <v>Kg</v>
          </cell>
          <cell r="E159">
            <v>17000</v>
          </cell>
          <cell r="F159">
            <v>0</v>
          </cell>
          <cell r="G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B160">
            <v>154</v>
          </cell>
          <cell r="C160" t="str">
            <v>Mướp đắng quả</v>
          </cell>
          <cell r="D160" t="str">
            <v>Kg</v>
          </cell>
          <cell r="E160">
            <v>22000</v>
          </cell>
          <cell r="F160">
            <v>0</v>
          </cell>
          <cell r="G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155</v>
          </cell>
          <cell r="C161" t="str">
            <v>Mướp đắng thái</v>
          </cell>
          <cell r="D161" t="str">
            <v>Kg</v>
          </cell>
          <cell r="E161">
            <v>19000</v>
          </cell>
          <cell r="F161">
            <v>0</v>
          </cell>
          <cell r="G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B162">
            <v>156</v>
          </cell>
          <cell r="C162" t="str">
            <v>Mướp thường</v>
          </cell>
          <cell r="D162" t="str">
            <v>Kg</v>
          </cell>
          <cell r="E162">
            <v>12000</v>
          </cell>
          <cell r="F162">
            <v>0</v>
          </cell>
          <cell r="G162">
            <v>0</v>
          </cell>
          <cell r="H162">
            <v>0.8</v>
          </cell>
          <cell r="L162">
            <v>9600</v>
          </cell>
          <cell r="M162">
            <v>0.8</v>
          </cell>
          <cell r="N162">
            <v>9600</v>
          </cell>
          <cell r="O162">
            <v>0.8</v>
          </cell>
          <cell r="P162">
            <v>9600</v>
          </cell>
          <cell r="R162">
            <v>0</v>
          </cell>
          <cell r="S162">
            <v>0.8</v>
          </cell>
          <cell r="T162">
            <v>9600</v>
          </cell>
          <cell r="U162">
            <v>0</v>
          </cell>
          <cell r="V162">
            <v>0</v>
          </cell>
        </row>
        <row r="163">
          <cell r="B163">
            <v>157</v>
          </cell>
          <cell r="C163" t="str">
            <v>Rau cải ngọt</v>
          </cell>
          <cell r="D163" t="str">
            <v>Kg</v>
          </cell>
          <cell r="E163">
            <v>15000</v>
          </cell>
          <cell r="F163">
            <v>0</v>
          </cell>
          <cell r="G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B164">
            <v>158</v>
          </cell>
          <cell r="C164" t="str">
            <v>Rau cải dưa</v>
          </cell>
          <cell r="D164" t="str">
            <v>Kg</v>
          </cell>
          <cell r="E164">
            <v>11000</v>
          </cell>
          <cell r="F164">
            <v>0</v>
          </cell>
          <cell r="G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B165">
            <v>159</v>
          </cell>
          <cell r="C165" t="str">
            <v>Rau muống</v>
          </cell>
          <cell r="D165" t="str">
            <v>Kg</v>
          </cell>
          <cell r="E165">
            <v>14000</v>
          </cell>
          <cell r="F165">
            <v>0</v>
          </cell>
          <cell r="G165">
            <v>0</v>
          </cell>
          <cell r="H165">
            <v>1.5</v>
          </cell>
          <cell r="L165">
            <v>21000</v>
          </cell>
          <cell r="M165">
            <v>1.5</v>
          </cell>
          <cell r="N165">
            <v>21000</v>
          </cell>
          <cell r="O165">
            <v>1.5</v>
          </cell>
          <cell r="P165">
            <v>21000</v>
          </cell>
          <cell r="R165">
            <v>0</v>
          </cell>
          <cell r="S165">
            <v>1.5</v>
          </cell>
          <cell r="T165">
            <v>21000</v>
          </cell>
          <cell r="U165">
            <v>0</v>
          </cell>
          <cell r="V165">
            <v>0</v>
          </cell>
        </row>
        <row r="166">
          <cell r="B166">
            <v>160</v>
          </cell>
          <cell r="C166" t="str">
            <v>Rau khoai lang chân chim</v>
          </cell>
          <cell r="D166" t="str">
            <v>Kg</v>
          </cell>
          <cell r="E166">
            <v>12000</v>
          </cell>
          <cell r="F166">
            <v>0</v>
          </cell>
          <cell r="G166">
            <v>0</v>
          </cell>
          <cell r="J166">
            <v>15</v>
          </cell>
          <cell r="L166">
            <v>180000</v>
          </cell>
          <cell r="M166">
            <v>15</v>
          </cell>
          <cell r="N166">
            <v>180000</v>
          </cell>
          <cell r="O166">
            <v>15</v>
          </cell>
          <cell r="P166">
            <v>180000</v>
          </cell>
          <cell r="R166">
            <v>0</v>
          </cell>
          <cell r="S166">
            <v>15</v>
          </cell>
          <cell r="T166">
            <v>180000</v>
          </cell>
          <cell r="U166">
            <v>0</v>
          </cell>
          <cell r="V166">
            <v>0</v>
          </cell>
        </row>
        <row r="167">
          <cell r="B167">
            <v>161</v>
          </cell>
          <cell r="C167" t="str">
            <v>Rau dền</v>
          </cell>
          <cell r="D167" t="str">
            <v>Kg</v>
          </cell>
          <cell r="E167">
            <v>17000</v>
          </cell>
          <cell r="F167">
            <v>0</v>
          </cell>
          <cell r="G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B168">
            <v>162</v>
          </cell>
          <cell r="C168" t="str">
            <v>Rau mồng tơi</v>
          </cell>
          <cell r="D168" t="str">
            <v>Kg</v>
          </cell>
          <cell r="E168">
            <v>17000</v>
          </cell>
          <cell r="F168">
            <v>0</v>
          </cell>
          <cell r="G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B169">
            <v>163</v>
          </cell>
          <cell r="C169" t="str">
            <v>Rau má</v>
          </cell>
          <cell r="D169" t="str">
            <v>Kg</v>
          </cell>
          <cell r="E169">
            <v>30000</v>
          </cell>
          <cell r="F169">
            <v>0</v>
          </cell>
          <cell r="G169">
            <v>0</v>
          </cell>
          <cell r="H169">
            <v>0.3</v>
          </cell>
          <cell r="L169">
            <v>9000</v>
          </cell>
          <cell r="M169">
            <v>0.3</v>
          </cell>
          <cell r="N169">
            <v>9000</v>
          </cell>
          <cell r="O169">
            <v>0.3</v>
          </cell>
          <cell r="P169">
            <v>9000</v>
          </cell>
          <cell r="R169">
            <v>0</v>
          </cell>
          <cell r="S169">
            <v>0.3</v>
          </cell>
          <cell r="T169">
            <v>9000</v>
          </cell>
          <cell r="U169">
            <v>0</v>
          </cell>
          <cell r="V169">
            <v>0</v>
          </cell>
        </row>
        <row r="170">
          <cell r="B170">
            <v>164</v>
          </cell>
          <cell r="C170" t="str">
            <v>Rau ngót</v>
          </cell>
          <cell r="D170" t="str">
            <v>Kg</v>
          </cell>
          <cell r="E170">
            <v>44000</v>
          </cell>
          <cell r="F170">
            <v>0</v>
          </cell>
          <cell r="G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B171">
            <v>165</v>
          </cell>
          <cell r="C171" t="str">
            <v>Cà rốt L1</v>
          </cell>
          <cell r="D171" t="str">
            <v>Kg</v>
          </cell>
          <cell r="E171">
            <v>17000</v>
          </cell>
          <cell r="F171">
            <v>0</v>
          </cell>
          <cell r="G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B172">
            <v>166</v>
          </cell>
          <cell r="C172" t="str">
            <v>Cà rốt L2</v>
          </cell>
          <cell r="D172" t="str">
            <v>Kg</v>
          </cell>
          <cell r="E172">
            <v>15000</v>
          </cell>
          <cell r="F172">
            <v>0</v>
          </cell>
          <cell r="G172">
            <v>0</v>
          </cell>
          <cell r="H172">
            <v>1.3</v>
          </cell>
          <cell r="L172">
            <v>19500</v>
          </cell>
          <cell r="M172">
            <v>1.3</v>
          </cell>
          <cell r="N172">
            <v>19500</v>
          </cell>
          <cell r="O172">
            <v>1.3</v>
          </cell>
          <cell r="P172">
            <v>19500</v>
          </cell>
          <cell r="R172">
            <v>0</v>
          </cell>
          <cell r="S172">
            <v>1.3</v>
          </cell>
          <cell r="T172">
            <v>19500</v>
          </cell>
          <cell r="U172">
            <v>0</v>
          </cell>
          <cell r="V172">
            <v>0</v>
          </cell>
        </row>
        <row r="173">
          <cell r="B173">
            <v>167</v>
          </cell>
          <cell r="C173" t="str">
            <v>Cà chua L1</v>
          </cell>
          <cell r="D173" t="str">
            <v>Kg</v>
          </cell>
          <cell r="E173">
            <v>32000</v>
          </cell>
          <cell r="F173">
            <v>0</v>
          </cell>
          <cell r="G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B174">
            <v>168</v>
          </cell>
          <cell r="C174" t="str">
            <v>Cà chua L2</v>
          </cell>
          <cell r="D174" t="str">
            <v>Kg</v>
          </cell>
          <cell r="E174">
            <v>20000</v>
          </cell>
          <cell r="F174">
            <v>0</v>
          </cell>
          <cell r="G174">
            <v>0</v>
          </cell>
          <cell r="H174">
            <v>3.1</v>
          </cell>
          <cell r="L174">
            <v>62000</v>
          </cell>
          <cell r="M174">
            <v>3.1</v>
          </cell>
          <cell r="N174">
            <v>62000</v>
          </cell>
          <cell r="O174">
            <v>3.1</v>
          </cell>
          <cell r="P174">
            <v>62000</v>
          </cell>
          <cell r="R174">
            <v>0</v>
          </cell>
          <cell r="S174">
            <v>3.1</v>
          </cell>
          <cell r="T174">
            <v>62000</v>
          </cell>
          <cell r="U174">
            <v>0</v>
          </cell>
          <cell r="V174">
            <v>0</v>
          </cell>
        </row>
        <row r="175">
          <cell r="B175">
            <v>169</v>
          </cell>
          <cell r="C175" t="str">
            <v>Cải thảo</v>
          </cell>
          <cell r="D175" t="str">
            <v>Kg</v>
          </cell>
          <cell r="E175">
            <v>16000</v>
          </cell>
          <cell r="F175">
            <v>0</v>
          </cell>
          <cell r="G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</row>
        <row r="176">
          <cell r="B176">
            <v>170</v>
          </cell>
          <cell r="C176" t="str">
            <v>Cần tây</v>
          </cell>
          <cell r="D176" t="str">
            <v>Kg</v>
          </cell>
          <cell r="E176">
            <v>28000</v>
          </cell>
          <cell r="F176">
            <v>0</v>
          </cell>
          <cell r="G176">
            <v>0</v>
          </cell>
          <cell r="H176">
            <v>1.1000000000000001</v>
          </cell>
          <cell r="L176">
            <v>30800.000000000004</v>
          </cell>
          <cell r="M176">
            <v>1.1000000000000001</v>
          </cell>
          <cell r="N176">
            <v>30800.000000000004</v>
          </cell>
          <cell r="O176">
            <v>1.1000000000000001</v>
          </cell>
          <cell r="P176">
            <v>30800.000000000004</v>
          </cell>
          <cell r="R176">
            <v>0</v>
          </cell>
          <cell r="S176">
            <v>1.1000000000000001</v>
          </cell>
          <cell r="T176">
            <v>30800.000000000004</v>
          </cell>
          <cell r="U176">
            <v>0</v>
          </cell>
          <cell r="V176">
            <v>0</v>
          </cell>
        </row>
        <row r="177">
          <cell r="B177">
            <v>171</v>
          </cell>
          <cell r="C177" t="str">
            <v>Hành tây</v>
          </cell>
          <cell r="D177" t="str">
            <v>Kg</v>
          </cell>
          <cell r="E177">
            <v>17000</v>
          </cell>
          <cell r="F177">
            <v>0</v>
          </cell>
          <cell r="G177">
            <v>0</v>
          </cell>
          <cell r="H177">
            <v>6</v>
          </cell>
          <cell r="L177">
            <v>102000</v>
          </cell>
          <cell r="M177">
            <v>6</v>
          </cell>
          <cell r="N177">
            <v>102000</v>
          </cell>
          <cell r="O177">
            <v>6</v>
          </cell>
          <cell r="P177">
            <v>102000</v>
          </cell>
          <cell r="R177">
            <v>0</v>
          </cell>
          <cell r="S177">
            <v>6</v>
          </cell>
          <cell r="T177">
            <v>102000</v>
          </cell>
          <cell r="U177">
            <v>0</v>
          </cell>
          <cell r="V177">
            <v>0</v>
          </cell>
        </row>
        <row r="178">
          <cell r="B178">
            <v>172</v>
          </cell>
          <cell r="C178" t="str">
            <v>Chanh</v>
          </cell>
          <cell r="D178" t="str">
            <v>Kg</v>
          </cell>
          <cell r="E178">
            <v>28000</v>
          </cell>
          <cell r="F178">
            <v>0</v>
          </cell>
          <cell r="G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B179">
            <v>173</v>
          </cell>
          <cell r="C179" t="str">
            <v>Dưa leo L1</v>
          </cell>
          <cell r="D179" t="str">
            <v>Kg</v>
          </cell>
          <cell r="E179">
            <v>22000</v>
          </cell>
          <cell r="F179">
            <v>0</v>
          </cell>
          <cell r="G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B180">
            <v>174</v>
          </cell>
          <cell r="C180" t="str">
            <v>Dưa leo L2</v>
          </cell>
          <cell r="D180" t="str">
            <v>Kg</v>
          </cell>
          <cell r="E180">
            <v>16000</v>
          </cell>
          <cell r="F180">
            <v>0</v>
          </cell>
          <cell r="G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B181">
            <v>175</v>
          </cell>
          <cell r="C181" t="str">
            <v>Đậu cove</v>
          </cell>
          <cell r="D181" t="str">
            <v>Kg</v>
          </cell>
          <cell r="E181">
            <v>33000</v>
          </cell>
          <cell r="F181">
            <v>0</v>
          </cell>
          <cell r="G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B182">
            <v>176</v>
          </cell>
          <cell r="C182" t="str">
            <v>Giá đỗ</v>
          </cell>
          <cell r="D182" t="str">
            <v>Kg</v>
          </cell>
          <cell r="E182">
            <v>16000</v>
          </cell>
          <cell r="F182">
            <v>0</v>
          </cell>
          <cell r="G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B183">
            <v>177</v>
          </cell>
          <cell r="C183" t="str">
            <v>Hành tươi</v>
          </cell>
          <cell r="D183" t="str">
            <v>Kg</v>
          </cell>
          <cell r="E183">
            <v>33000</v>
          </cell>
          <cell r="F183">
            <v>0</v>
          </cell>
          <cell r="G183">
            <v>0</v>
          </cell>
          <cell r="H183">
            <v>0.7</v>
          </cell>
          <cell r="L183">
            <v>23100</v>
          </cell>
          <cell r="M183">
            <v>0.7</v>
          </cell>
          <cell r="N183">
            <v>23100</v>
          </cell>
          <cell r="O183">
            <v>0.7</v>
          </cell>
          <cell r="P183">
            <v>23100</v>
          </cell>
          <cell r="R183">
            <v>0</v>
          </cell>
          <cell r="S183">
            <v>0.7</v>
          </cell>
          <cell r="T183">
            <v>23100</v>
          </cell>
          <cell r="U183">
            <v>0</v>
          </cell>
          <cell r="V183">
            <v>0</v>
          </cell>
        </row>
        <row r="184">
          <cell r="B184">
            <v>178</v>
          </cell>
          <cell r="C184" t="str">
            <v>Ớt quả</v>
          </cell>
          <cell r="D184" t="str">
            <v>Kg</v>
          </cell>
          <cell r="E184">
            <v>35000</v>
          </cell>
          <cell r="F184">
            <v>0</v>
          </cell>
          <cell r="G184">
            <v>0</v>
          </cell>
          <cell r="H184">
            <v>0.5</v>
          </cell>
          <cell r="L184">
            <v>17500</v>
          </cell>
          <cell r="M184">
            <v>0.5</v>
          </cell>
          <cell r="N184">
            <v>17500</v>
          </cell>
          <cell r="O184">
            <v>0.5</v>
          </cell>
          <cell r="P184">
            <v>17500</v>
          </cell>
          <cell r="R184">
            <v>0</v>
          </cell>
          <cell r="S184">
            <v>0.5</v>
          </cell>
          <cell r="T184">
            <v>17500</v>
          </cell>
          <cell r="U184">
            <v>0</v>
          </cell>
          <cell r="V184">
            <v>0</v>
          </cell>
        </row>
        <row r="185">
          <cell r="B185">
            <v>179</v>
          </cell>
          <cell r="C185" t="str">
            <v>Khoai tây</v>
          </cell>
          <cell r="D185" t="str">
            <v>Kg</v>
          </cell>
          <cell r="E185">
            <v>17000</v>
          </cell>
          <cell r="F185">
            <v>0</v>
          </cell>
          <cell r="G185">
            <v>0</v>
          </cell>
          <cell r="H185">
            <v>0.3</v>
          </cell>
          <cell r="L185">
            <v>5100</v>
          </cell>
          <cell r="M185">
            <v>0.3</v>
          </cell>
          <cell r="N185">
            <v>5100</v>
          </cell>
          <cell r="O185">
            <v>0.3</v>
          </cell>
          <cell r="P185">
            <v>5100</v>
          </cell>
          <cell r="R185">
            <v>0</v>
          </cell>
          <cell r="S185">
            <v>0.3</v>
          </cell>
          <cell r="T185">
            <v>5100</v>
          </cell>
          <cell r="U185">
            <v>0</v>
          </cell>
          <cell r="V185">
            <v>0</v>
          </cell>
        </row>
        <row r="186">
          <cell r="B186">
            <v>180</v>
          </cell>
          <cell r="C186" t="str">
            <v>Khoai lang</v>
          </cell>
          <cell r="D186" t="str">
            <v>Kg</v>
          </cell>
          <cell r="E186">
            <v>23000</v>
          </cell>
          <cell r="F186">
            <v>0</v>
          </cell>
          <cell r="G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B187">
            <v>181</v>
          </cell>
          <cell r="C187" t="str">
            <v>Khoai sọ</v>
          </cell>
          <cell r="D187" t="str">
            <v>Kg</v>
          </cell>
          <cell r="E187">
            <v>33000</v>
          </cell>
          <cell r="F187">
            <v>0</v>
          </cell>
          <cell r="G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B188">
            <v>182</v>
          </cell>
          <cell r="C188" t="str">
            <v>Gừng</v>
          </cell>
          <cell r="D188" t="str">
            <v>Kg</v>
          </cell>
          <cell r="E188">
            <v>33000</v>
          </cell>
          <cell r="F188">
            <v>0</v>
          </cell>
          <cell r="G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B189">
            <v>183</v>
          </cell>
          <cell r="C189" t="str">
            <v>Riềng</v>
          </cell>
          <cell r="D189" t="str">
            <v>Kg</v>
          </cell>
          <cell r="E189">
            <v>44000</v>
          </cell>
          <cell r="F189">
            <v>0</v>
          </cell>
          <cell r="G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B190">
            <v>184</v>
          </cell>
          <cell r="C190" t="str">
            <v>Sả</v>
          </cell>
          <cell r="D190" t="str">
            <v>Kg</v>
          </cell>
          <cell r="E190">
            <v>14000</v>
          </cell>
          <cell r="F190">
            <v>0</v>
          </cell>
          <cell r="G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B191">
            <v>185</v>
          </cell>
          <cell r="C191" t="str">
            <v>Rau bí</v>
          </cell>
          <cell r="D191" t="str">
            <v>Kg</v>
          </cell>
          <cell r="E191">
            <v>28000</v>
          </cell>
          <cell r="F191">
            <v>0</v>
          </cell>
          <cell r="G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B192">
            <v>186</v>
          </cell>
          <cell r="C192" t="str">
            <v>Củ cải</v>
          </cell>
          <cell r="D192" t="str">
            <v>Kg</v>
          </cell>
          <cell r="E192">
            <v>12000</v>
          </cell>
          <cell r="F192">
            <v>0</v>
          </cell>
          <cell r="G192">
            <v>0</v>
          </cell>
          <cell r="H192">
            <v>4.5</v>
          </cell>
          <cell r="L192">
            <v>54000</v>
          </cell>
          <cell r="M192">
            <v>4.5</v>
          </cell>
          <cell r="N192">
            <v>54000</v>
          </cell>
          <cell r="O192">
            <v>4.5</v>
          </cell>
          <cell r="P192">
            <v>54000</v>
          </cell>
          <cell r="R192">
            <v>0</v>
          </cell>
          <cell r="S192">
            <v>4.5</v>
          </cell>
          <cell r="T192">
            <v>54000</v>
          </cell>
          <cell r="U192">
            <v>0</v>
          </cell>
          <cell r="V192">
            <v>0</v>
          </cell>
        </row>
        <row r="193">
          <cell r="B193">
            <v>187</v>
          </cell>
          <cell r="C193" t="str">
            <v>Rau cải cúc</v>
          </cell>
          <cell r="D193" t="str">
            <v>Kg</v>
          </cell>
          <cell r="E193">
            <v>34000</v>
          </cell>
          <cell r="F193">
            <v>0</v>
          </cell>
          <cell r="G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B194">
            <v>188</v>
          </cell>
          <cell r="C194" t="str">
            <v>Hoa thiên lý</v>
          </cell>
          <cell r="D194" t="str">
            <v>Kg</v>
          </cell>
          <cell r="E194">
            <v>70000</v>
          </cell>
          <cell r="F194">
            <v>0</v>
          </cell>
          <cell r="G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B195">
            <v>189</v>
          </cell>
          <cell r="C195" t="str">
            <v>Rau tập tàng</v>
          </cell>
          <cell r="D195" t="str">
            <v>Kg</v>
          </cell>
          <cell r="E195">
            <v>17000</v>
          </cell>
          <cell r="F195">
            <v>0</v>
          </cell>
          <cell r="G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B196">
            <v>190</v>
          </cell>
          <cell r="C196" t="str">
            <v>Húng</v>
          </cell>
          <cell r="D196" t="str">
            <v>Mớ</v>
          </cell>
          <cell r="E196">
            <v>6000</v>
          </cell>
          <cell r="F196">
            <v>0</v>
          </cell>
          <cell r="G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B197">
            <v>191</v>
          </cell>
          <cell r="C197" t="str">
            <v>Ngò</v>
          </cell>
          <cell r="D197" t="str">
            <v>Mớ</v>
          </cell>
          <cell r="E197">
            <v>5000</v>
          </cell>
          <cell r="F197">
            <v>0</v>
          </cell>
          <cell r="G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B198">
            <v>192</v>
          </cell>
          <cell r="C198" t="str">
            <v>Thì là</v>
          </cell>
          <cell r="D198" t="str">
            <v>Mớ</v>
          </cell>
          <cell r="E198">
            <v>5000</v>
          </cell>
          <cell r="F198">
            <v>0</v>
          </cell>
          <cell r="G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B199">
            <v>193</v>
          </cell>
          <cell r="C199" t="str">
            <v>Gas đốt</v>
          </cell>
          <cell r="D199" t="str">
            <v>Kg</v>
          </cell>
          <cell r="E199">
            <v>40000</v>
          </cell>
          <cell r="F199">
            <v>0</v>
          </cell>
          <cell r="G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B200">
            <v>194</v>
          </cell>
          <cell r="C200" t="str">
            <v>Củi</v>
          </cell>
          <cell r="D200" t="str">
            <v>Kg</v>
          </cell>
          <cell r="E200">
            <v>1700</v>
          </cell>
          <cell r="F200">
            <v>219.3</v>
          </cell>
          <cell r="G200">
            <v>372810</v>
          </cell>
          <cell r="L200">
            <v>0</v>
          </cell>
          <cell r="M200">
            <v>0</v>
          </cell>
          <cell r="N200">
            <v>0</v>
          </cell>
          <cell r="O200">
            <v>70.3</v>
          </cell>
          <cell r="P200">
            <v>119510</v>
          </cell>
          <cell r="R200">
            <v>0</v>
          </cell>
          <cell r="S200">
            <v>70.3</v>
          </cell>
          <cell r="T200">
            <v>119510</v>
          </cell>
          <cell r="U200">
            <v>149</v>
          </cell>
          <cell r="V200">
            <v>253300</v>
          </cell>
        </row>
        <row r="201">
          <cell r="B201">
            <v>195</v>
          </cell>
          <cell r="C201" t="str">
            <v>Ớt xào</v>
          </cell>
          <cell r="D201" t="str">
            <v>Kg</v>
          </cell>
          <cell r="E201">
            <v>40000</v>
          </cell>
          <cell r="G201">
            <v>0</v>
          </cell>
          <cell r="H201">
            <v>2</v>
          </cell>
          <cell r="L201">
            <v>80000</v>
          </cell>
          <cell r="M201">
            <v>2</v>
          </cell>
          <cell r="N201">
            <v>80000</v>
          </cell>
          <cell r="O201">
            <v>2</v>
          </cell>
          <cell r="P201">
            <v>80000</v>
          </cell>
          <cell r="R201">
            <v>0</v>
          </cell>
          <cell r="S201">
            <v>2</v>
          </cell>
          <cell r="T201">
            <v>80000</v>
          </cell>
          <cell r="U201">
            <v>0</v>
          </cell>
          <cell r="V201">
            <v>0</v>
          </cell>
        </row>
        <row r="202">
          <cell r="B202">
            <v>196</v>
          </cell>
          <cell r="C202" t="str">
            <v>Gia vị</v>
          </cell>
          <cell r="D202" t="str">
            <v>Đồng</v>
          </cell>
          <cell r="E202">
            <v>6000</v>
          </cell>
          <cell r="G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B203">
            <v>197</v>
          </cell>
          <cell r="C203" t="str">
            <v>Rau canh chua</v>
          </cell>
          <cell r="D203" t="str">
            <v>Đồng</v>
          </cell>
          <cell r="E203">
            <v>50000</v>
          </cell>
          <cell r="F203">
            <v>0</v>
          </cell>
          <cell r="G203">
            <v>0</v>
          </cell>
          <cell r="H203">
            <v>0.2</v>
          </cell>
          <cell r="L203">
            <v>10000</v>
          </cell>
          <cell r="M203">
            <v>0.2</v>
          </cell>
          <cell r="N203">
            <v>10000</v>
          </cell>
          <cell r="O203">
            <v>0.2</v>
          </cell>
          <cell r="P203">
            <v>10000</v>
          </cell>
          <cell r="R203">
            <v>0</v>
          </cell>
          <cell r="S203">
            <v>0.2</v>
          </cell>
          <cell r="T203">
            <v>10000</v>
          </cell>
          <cell r="U203">
            <v>0</v>
          </cell>
          <cell r="V203">
            <v>0</v>
          </cell>
        </row>
        <row r="204">
          <cell r="B204">
            <v>198</v>
          </cell>
          <cell r="C204" t="str">
            <v>Rau canh</v>
          </cell>
          <cell r="D204" t="str">
            <v>Đồng</v>
          </cell>
          <cell r="E204">
            <v>50000</v>
          </cell>
          <cell r="F204">
            <v>0</v>
          </cell>
          <cell r="G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B205">
            <v>199</v>
          </cell>
          <cell r="C205" t="str">
            <v>Xì dầu</v>
          </cell>
          <cell r="D205" t="str">
            <v>Chai</v>
          </cell>
          <cell r="E205">
            <v>1700</v>
          </cell>
          <cell r="F205">
            <v>0</v>
          </cell>
          <cell r="G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B206">
            <v>200</v>
          </cell>
          <cell r="C206" t="str">
            <v>Tương ớt</v>
          </cell>
          <cell r="D206" t="str">
            <v>Chai</v>
          </cell>
          <cell r="E206">
            <v>8000</v>
          </cell>
          <cell r="F206">
            <v>0</v>
          </cell>
          <cell r="G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B207">
            <v>201</v>
          </cell>
          <cell r="C207" t="str">
            <v>Khác</v>
          </cell>
          <cell r="D207" t="str">
            <v>Đồng</v>
          </cell>
          <cell r="F207">
            <v>0</v>
          </cell>
          <cell r="G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B208">
            <v>202</v>
          </cell>
          <cell r="C208" t="str">
            <v>Vịt làm sẵn</v>
          </cell>
          <cell r="D208" t="str">
            <v>Con</v>
          </cell>
          <cell r="E208">
            <v>155000</v>
          </cell>
          <cell r="F208">
            <v>0</v>
          </cell>
          <cell r="G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B209">
            <v>203</v>
          </cell>
          <cell r="C209" t="str">
            <v>Vịt chấm</v>
          </cell>
          <cell r="D209" t="str">
            <v>Con</v>
          </cell>
          <cell r="E209">
            <v>130000</v>
          </cell>
          <cell r="F209">
            <v>0</v>
          </cell>
          <cell r="G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B210">
            <v>204</v>
          </cell>
          <cell r="C210" t="str">
            <v>Chim cút loại 2</v>
          </cell>
          <cell r="D210" t="str">
            <v>Kg</v>
          </cell>
          <cell r="E210">
            <v>95000</v>
          </cell>
          <cell r="F210">
            <v>0</v>
          </cell>
          <cell r="G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B211">
            <v>205</v>
          </cell>
          <cell r="C211" t="str">
            <v>Sữa đậu nành</v>
          </cell>
          <cell r="D211" t="str">
            <v>Lit</v>
          </cell>
          <cell r="E211">
            <v>8000</v>
          </cell>
          <cell r="F211">
            <v>0</v>
          </cell>
          <cell r="G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B212">
            <v>206</v>
          </cell>
          <cell r="C212" t="str">
            <v>Cà pháo</v>
          </cell>
          <cell r="D212" t="str">
            <v>Kg</v>
          </cell>
          <cell r="E212">
            <v>15000</v>
          </cell>
          <cell r="F212">
            <v>0</v>
          </cell>
          <cell r="G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B213">
            <v>207</v>
          </cell>
          <cell r="C213" t="str">
            <v>Sa tế</v>
          </cell>
          <cell r="D213" t="str">
            <v>Lọ</v>
          </cell>
          <cell r="E213">
            <v>9000</v>
          </cell>
          <cell r="F213">
            <v>0</v>
          </cell>
          <cell r="G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B214">
            <v>208</v>
          </cell>
          <cell r="C214" t="str">
            <v>Mắm tôm</v>
          </cell>
          <cell r="D214" t="str">
            <v>Lọ</v>
          </cell>
          <cell r="E214">
            <v>16000</v>
          </cell>
          <cell r="F214">
            <v>0</v>
          </cell>
          <cell r="G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B215">
            <v>209</v>
          </cell>
          <cell r="C215" t="str">
            <v>Su hào</v>
          </cell>
          <cell r="D215" t="str">
            <v>Kg</v>
          </cell>
          <cell r="E215">
            <v>28000</v>
          </cell>
          <cell r="F215">
            <v>0</v>
          </cell>
          <cell r="G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B216">
            <v>210</v>
          </cell>
          <cell r="C216" t="str">
            <v>Bắp cải tím</v>
          </cell>
          <cell r="D216" t="str">
            <v>Gói</v>
          </cell>
          <cell r="E216">
            <v>23000</v>
          </cell>
          <cell r="F216">
            <v>0</v>
          </cell>
          <cell r="G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B217">
            <v>211</v>
          </cell>
          <cell r="C217" t="str">
            <v>Chả cá thát lát</v>
          </cell>
          <cell r="D217" t="str">
            <v>Kg</v>
          </cell>
          <cell r="E217">
            <v>125000</v>
          </cell>
          <cell r="F217">
            <v>0</v>
          </cell>
          <cell r="G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B218">
            <v>212</v>
          </cell>
          <cell r="C218" t="str">
            <v>Ngan</v>
          </cell>
          <cell r="D218" t="str">
            <v>Kg</v>
          </cell>
          <cell r="E218">
            <v>75000</v>
          </cell>
          <cell r="F218">
            <v>0</v>
          </cell>
          <cell r="G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B219">
            <v>0</v>
          </cell>
          <cell r="F219">
            <v>0</v>
          </cell>
          <cell r="G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B220">
            <v>213</v>
          </cell>
          <cell r="C220" t="str">
            <v>Mì tôm Hảo Hảo</v>
          </cell>
          <cell r="D220" t="str">
            <v>Gói</v>
          </cell>
          <cell r="E220">
            <v>4500</v>
          </cell>
          <cell r="F220">
            <v>0</v>
          </cell>
          <cell r="G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B221">
            <v>214</v>
          </cell>
          <cell r="C221" t="str">
            <v>Củ đậu</v>
          </cell>
          <cell r="D221" t="str">
            <v>Kg</v>
          </cell>
          <cell r="E221">
            <v>35000</v>
          </cell>
          <cell r="F221">
            <v>0</v>
          </cell>
          <cell r="G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B222">
            <v>215</v>
          </cell>
          <cell r="C222" t="str">
            <v>Nấm bào ngư</v>
          </cell>
          <cell r="D222" t="str">
            <v>Kg</v>
          </cell>
          <cell r="E222">
            <v>60000</v>
          </cell>
          <cell r="F222">
            <v>0</v>
          </cell>
          <cell r="G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B223">
            <v>216</v>
          </cell>
          <cell r="C223" t="str">
            <v>Cải chíp</v>
          </cell>
          <cell r="D223" t="str">
            <v>Kg</v>
          </cell>
          <cell r="E223">
            <v>18000</v>
          </cell>
          <cell r="F223">
            <v>0</v>
          </cell>
          <cell r="G223">
            <v>0</v>
          </cell>
          <cell r="H223">
            <v>3.5</v>
          </cell>
          <cell r="L223">
            <v>63000</v>
          </cell>
          <cell r="M223">
            <v>3.5</v>
          </cell>
          <cell r="N223">
            <v>63000</v>
          </cell>
          <cell r="O223">
            <v>3.5</v>
          </cell>
          <cell r="P223">
            <v>63000</v>
          </cell>
          <cell r="R223">
            <v>0</v>
          </cell>
          <cell r="S223">
            <v>3.5</v>
          </cell>
          <cell r="T223">
            <v>63000</v>
          </cell>
          <cell r="U223">
            <v>0</v>
          </cell>
          <cell r="V223">
            <v>0</v>
          </cell>
        </row>
        <row r="224">
          <cell r="B224">
            <v>217</v>
          </cell>
          <cell r="C224" t="str">
            <v>Bột nghệ</v>
          </cell>
          <cell r="D224" t="str">
            <v>Kg</v>
          </cell>
          <cell r="E224">
            <v>100000</v>
          </cell>
          <cell r="F224">
            <v>0</v>
          </cell>
          <cell r="G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B225">
            <v>218</v>
          </cell>
          <cell r="C225" t="str">
            <v>Cải xanh</v>
          </cell>
          <cell r="D225" t="str">
            <v>Kg</v>
          </cell>
          <cell r="E225">
            <v>18000</v>
          </cell>
          <cell r="F225">
            <v>0</v>
          </cell>
          <cell r="G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B226">
            <v>219</v>
          </cell>
          <cell r="C226" t="str">
            <v>Sữa chua</v>
          </cell>
          <cell r="D226" t="str">
            <v>Hộp</v>
          </cell>
          <cell r="E226">
            <v>6200</v>
          </cell>
          <cell r="F226">
            <v>0</v>
          </cell>
          <cell r="G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B227">
            <v>220</v>
          </cell>
          <cell r="C227" t="str">
            <v>Nước ngọt cocacola</v>
          </cell>
          <cell r="D227" t="str">
            <v>Lon</v>
          </cell>
          <cell r="E227">
            <v>9000</v>
          </cell>
          <cell r="F227">
            <v>0</v>
          </cell>
          <cell r="G227">
            <v>0</v>
          </cell>
          <cell r="J227">
            <v>97</v>
          </cell>
          <cell r="L227">
            <v>873000</v>
          </cell>
          <cell r="M227">
            <v>97</v>
          </cell>
          <cell r="N227">
            <v>873000</v>
          </cell>
          <cell r="O227">
            <v>97</v>
          </cell>
          <cell r="P227">
            <v>873000</v>
          </cell>
          <cell r="R227">
            <v>0</v>
          </cell>
          <cell r="S227">
            <v>97</v>
          </cell>
          <cell r="T227">
            <v>873000</v>
          </cell>
          <cell r="U227">
            <v>0</v>
          </cell>
          <cell r="V227">
            <v>0</v>
          </cell>
        </row>
        <row r="228">
          <cell r="B228">
            <v>221</v>
          </cell>
          <cell r="C228" t="str">
            <v>Ngũ vị hương</v>
          </cell>
          <cell r="D228" t="str">
            <v>gói</v>
          </cell>
          <cell r="E228">
            <v>3000</v>
          </cell>
          <cell r="F228">
            <v>0</v>
          </cell>
          <cell r="G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B229">
            <v>222</v>
          </cell>
          <cell r="C229" t="str">
            <v>Nước rửa chén</v>
          </cell>
          <cell r="D229" t="str">
            <v>Chai</v>
          </cell>
          <cell r="E229">
            <v>71000</v>
          </cell>
          <cell r="F229">
            <v>0</v>
          </cell>
          <cell r="G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B230">
            <v>223</v>
          </cell>
          <cell r="C230" t="str">
            <v>Cá canh</v>
          </cell>
          <cell r="D230" t="str">
            <v>Đồng</v>
          </cell>
          <cell r="E230">
            <v>50000</v>
          </cell>
          <cell r="F230">
            <v>0</v>
          </cell>
          <cell r="G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B231">
            <v>224</v>
          </cell>
          <cell r="C231" t="str">
            <v>Măng muối</v>
          </cell>
          <cell r="D231" t="str">
            <v>Kg</v>
          </cell>
          <cell r="E231">
            <v>60000</v>
          </cell>
          <cell r="F231">
            <v>0</v>
          </cell>
          <cell r="G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B232">
            <v>225</v>
          </cell>
          <cell r="C232" t="str">
            <v>Hoa chuối</v>
          </cell>
          <cell r="D232" t="str">
            <v>Kg</v>
          </cell>
          <cell r="E232">
            <v>60000</v>
          </cell>
          <cell r="F232">
            <v>0</v>
          </cell>
          <cell r="G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B233">
            <v>226</v>
          </cell>
          <cell r="C233" t="str">
            <v>Lòng gà</v>
          </cell>
          <cell r="D233" t="str">
            <v>Bộ</v>
          </cell>
          <cell r="E233">
            <v>6000</v>
          </cell>
          <cell r="F233">
            <v>0</v>
          </cell>
          <cell r="G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B234">
            <v>227</v>
          </cell>
          <cell r="C234" t="str">
            <v>Dứa</v>
          </cell>
          <cell r="D234" t="str">
            <v>Qủa</v>
          </cell>
          <cell r="E234">
            <v>16000</v>
          </cell>
          <cell r="F234">
            <v>0</v>
          </cell>
          <cell r="G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B235">
            <v>228</v>
          </cell>
          <cell r="C235" t="str">
            <v>Tía tô</v>
          </cell>
          <cell r="D235" t="str">
            <v>Mớ</v>
          </cell>
          <cell r="E235">
            <v>5000</v>
          </cell>
          <cell r="F235">
            <v>0</v>
          </cell>
          <cell r="G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B236">
            <v>229</v>
          </cell>
          <cell r="C236" t="str">
            <v>Đậu bắp</v>
          </cell>
          <cell r="D236" t="str">
            <v>Kg</v>
          </cell>
          <cell r="E236">
            <v>35000</v>
          </cell>
          <cell r="F236">
            <v>0</v>
          </cell>
          <cell r="G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B237">
            <v>230</v>
          </cell>
          <cell r="C237" t="str">
            <v>Ớt xanh</v>
          </cell>
          <cell r="D237" t="str">
            <v>Kg</v>
          </cell>
          <cell r="E237">
            <v>90000</v>
          </cell>
          <cell r="F237">
            <v>0</v>
          </cell>
          <cell r="G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B238">
            <v>231</v>
          </cell>
          <cell r="C238" t="str">
            <v>Chôm chôm thái</v>
          </cell>
          <cell r="D238" t="str">
            <v>Kg</v>
          </cell>
          <cell r="E238">
            <v>45000</v>
          </cell>
          <cell r="F238">
            <v>0</v>
          </cell>
          <cell r="G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B239">
            <v>232</v>
          </cell>
          <cell r="D239" t="str">
            <v>Kg</v>
          </cell>
          <cell r="F239">
            <v>0</v>
          </cell>
          <cell r="G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B240">
            <v>233</v>
          </cell>
          <cell r="C240" t="str">
            <v>Giấy ăn</v>
          </cell>
          <cell r="D240" t="str">
            <v>Kg</v>
          </cell>
          <cell r="E240">
            <v>15000</v>
          </cell>
          <cell r="F240">
            <v>0</v>
          </cell>
          <cell r="G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1">
          <cell r="B241">
            <v>234</v>
          </cell>
          <cell r="C241" t="str">
            <v>Cá basa</v>
          </cell>
          <cell r="D241" t="str">
            <v>Kg</v>
          </cell>
          <cell r="E241">
            <v>60000</v>
          </cell>
          <cell r="F241">
            <v>0</v>
          </cell>
          <cell r="G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B242">
            <v>235</v>
          </cell>
          <cell r="C242" t="str">
            <v>Ngò gai</v>
          </cell>
          <cell r="D242" t="str">
            <v>Kg</v>
          </cell>
          <cell r="E242">
            <v>5000</v>
          </cell>
          <cell r="F242">
            <v>0</v>
          </cell>
          <cell r="G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B243">
            <v>236</v>
          </cell>
          <cell r="C243" t="str">
            <v>Rau răm</v>
          </cell>
          <cell r="D243" t="str">
            <v>Kg</v>
          </cell>
          <cell r="E243">
            <v>20000</v>
          </cell>
          <cell r="H243">
            <v>0.3</v>
          </cell>
          <cell r="L243">
            <v>6000</v>
          </cell>
          <cell r="M243">
            <v>0.3</v>
          </cell>
          <cell r="N243">
            <v>6000</v>
          </cell>
          <cell r="O243">
            <v>0.3</v>
          </cell>
          <cell r="P243">
            <v>6000</v>
          </cell>
          <cell r="R243">
            <v>0</v>
          </cell>
          <cell r="S243">
            <v>0.3</v>
          </cell>
          <cell r="T243">
            <v>6000</v>
          </cell>
          <cell r="U243">
            <v>0</v>
          </cell>
          <cell r="V243">
            <v>0</v>
          </cell>
        </row>
        <row r="244">
          <cell r="B244">
            <v>237</v>
          </cell>
          <cell r="C244" t="str">
            <v>Lá giang</v>
          </cell>
          <cell r="D244" t="str">
            <v>Kg</v>
          </cell>
          <cell r="E244">
            <v>35000</v>
          </cell>
          <cell r="H244">
            <v>0.2</v>
          </cell>
          <cell r="L244">
            <v>7000</v>
          </cell>
          <cell r="M244">
            <v>0.2</v>
          </cell>
          <cell r="N244">
            <v>7000</v>
          </cell>
          <cell r="O244">
            <v>0.2</v>
          </cell>
          <cell r="P244">
            <v>7000</v>
          </cell>
          <cell r="R244">
            <v>0</v>
          </cell>
          <cell r="S244">
            <v>0.2</v>
          </cell>
          <cell r="T244">
            <v>7000</v>
          </cell>
          <cell r="U244">
            <v>0</v>
          </cell>
          <cell r="V244">
            <v>0</v>
          </cell>
        </row>
        <row r="245">
          <cell r="B245">
            <v>238</v>
          </cell>
          <cell r="C245" t="str">
            <v>Xà lách</v>
          </cell>
          <cell r="D245" t="str">
            <v>Kg</v>
          </cell>
          <cell r="E245">
            <v>30000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6">
          <cell r="B246">
            <v>239</v>
          </cell>
          <cell r="C246" t="str">
            <v>Rau thơm</v>
          </cell>
          <cell r="D246" t="str">
            <v>Đồng</v>
          </cell>
          <cell r="E246">
            <v>50000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7">
          <cell r="B247">
            <v>240</v>
          </cell>
          <cell r="C247" t="str">
            <v xml:space="preserve">Gà đùi CN </v>
          </cell>
          <cell r="D247" t="str">
            <v>Kg</v>
          </cell>
          <cell r="E247">
            <v>64000</v>
          </cell>
          <cell r="F247">
            <v>0</v>
          </cell>
          <cell r="G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8">
          <cell r="B248">
            <v>241</v>
          </cell>
          <cell r="C248" t="str">
            <v>Nấm rơm</v>
          </cell>
          <cell r="D248" t="str">
            <v>Kg</v>
          </cell>
          <cell r="E248">
            <v>120000</v>
          </cell>
          <cell r="F248">
            <v>0</v>
          </cell>
          <cell r="G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</row>
        <row r="249">
          <cell r="B249">
            <v>242</v>
          </cell>
          <cell r="C249" t="str">
            <v>Chim cút loại 1</v>
          </cell>
          <cell r="E249">
            <v>100000</v>
          </cell>
          <cell r="F249">
            <v>0</v>
          </cell>
          <cell r="G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</row>
        <row r="250">
          <cell r="B250">
            <v>243</v>
          </cell>
          <cell r="C250" t="str">
            <v>Cá đổng</v>
          </cell>
          <cell r="E250">
            <v>67000</v>
          </cell>
          <cell r="F250">
            <v>0</v>
          </cell>
          <cell r="G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B251">
            <v>244</v>
          </cell>
          <cell r="E251">
            <v>160000</v>
          </cell>
          <cell r="F251">
            <v>0</v>
          </cell>
          <cell r="G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</row>
        <row r="252">
          <cell r="G252">
            <v>4829710</v>
          </cell>
          <cell r="L252">
            <v>40049900</v>
          </cell>
          <cell r="M252">
            <v>0</v>
          </cell>
          <cell r="N252">
            <v>40272900</v>
          </cell>
          <cell r="P252">
            <v>17573560</v>
          </cell>
          <cell r="R252">
            <v>0</v>
          </cell>
          <cell r="T252">
            <v>17573560</v>
          </cell>
          <cell r="V252">
            <v>27529050</v>
          </cell>
        </row>
      </sheetData>
      <sheetData sheetId="2">
        <row r="7">
          <cell r="B7">
            <v>1</v>
          </cell>
        </row>
      </sheetData>
      <sheetData sheetId="3">
        <row r="7">
          <cell r="B7">
            <v>1</v>
          </cell>
        </row>
      </sheetData>
      <sheetData sheetId="4">
        <row r="7">
          <cell r="B7">
            <v>1</v>
          </cell>
        </row>
      </sheetData>
      <sheetData sheetId="5">
        <row r="7">
          <cell r="B7">
            <v>1</v>
          </cell>
        </row>
      </sheetData>
      <sheetData sheetId="6">
        <row r="7">
          <cell r="B7">
            <v>1</v>
          </cell>
        </row>
      </sheetData>
      <sheetData sheetId="7">
        <row r="7">
          <cell r="B7">
            <v>1</v>
          </cell>
        </row>
      </sheetData>
      <sheetData sheetId="8">
        <row r="7">
          <cell r="B7">
            <v>1</v>
          </cell>
        </row>
      </sheetData>
      <sheetData sheetId="9">
        <row r="7">
          <cell r="B7">
            <v>1</v>
          </cell>
        </row>
      </sheetData>
      <sheetData sheetId="10">
        <row r="7">
          <cell r="B7">
            <v>1</v>
          </cell>
        </row>
      </sheetData>
      <sheetData sheetId="11">
        <row r="7">
          <cell r="B7">
            <v>1</v>
          </cell>
        </row>
      </sheetData>
      <sheetData sheetId="12">
        <row r="7">
          <cell r="B7">
            <v>1</v>
          </cell>
        </row>
      </sheetData>
      <sheetData sheetId="13">
        <row r="7">
          <cell r="B7">
            <v>1</v>
          </cell>
        </row>
      </sheetData>
      <sheetData sheetId="14">
        <row r="7">
          <cell r="B7">
            <v>1</v>
          </cell>
        </row>
      </sheetData>
      <sheetData sheetId="15">
        <row r="7">
          <cell r="B7">
            <v>1</v>
          </cell>
        </row>
      </sheetData>
      <sheetData sheetId="16">
        <row r="7">
          <cell r="B7">
            <v>1</v>
          </cell>
        </row>
      </sheetData>
      <sheetData sheetId="17">
        <row r="7">
          <cell r="B7">
            <v>1</v>
          </cell>
        </row>
      </sheetData>
      <sheetData sheetId="18">
        <row r="7">
          <cell r="B7">
            <v>1</v>
          </cell>
        </row>
      </sheetData>
      <sheetData sheetId="19">
        <row r="7">
          <cell r="B7">
            <v>1</v>
          </cell>
        </row>
      </sheetData>
      <sheetData sheetId="20">
        <row r="7">
          <cell r="B7">
            <v>1</v>
          </cell>
        </row>
      </sheetData>
      <sheetData sheetId="21">
        <row r="7">
          <cell r="B7">
            <v>1</v>
          </cell>
        </row>
      </sheetData>
      <sheetData sheetId="22">
        <row r="7">
          <cell r="B7">
            <v>1</v>
          </cell>
        </row>
      </sheetData>
      <sheetData sheetId="23">
        <row r="7">
          <cell r="B7">
            <v>1</v>
          </cell>
        </row>
      </sheetData>
      <sheetData sheetId="24">
        <row r="7">
          <cell r="B7">
            <v>1</v>
          </cell>
        </row>
      </sheetData>
      <sheetData sheetId="25">
        <row r="7">
          <cell r="B7">
            <v>1</v>
          </cell>
        </row>
      </sheetData>
      <sheetData sheetId="26">
        <row r="7">
          <cell r="B7">
            <v>1</v>
          </cell>
        </row>
      </sheetData>
      <sheetData sheetId="27">
        <row r="7">
          <cell r="B7">
            <v>1</v>
          </cell>
        </row>
      </sheetData>
      <sheetData sheetId="28">
        <row r="7">
          <cell r="B7">
            <v>1</v>
          </cell>
        </row>
      </sheetData>
      <sheetData sheetId="29">
        <row r="7">
          <cell r="B7">
            <v>1</v>
          </cell>
        </row>
      </sheetData>
      <sheetData sheetId="30">
        <row r="7">
          <cell r="B7">
            <v>1</v>
          </cell>
        </row>
      </sheetData>
      <sheetData sheetId="31">
        <row r="7">
          <cell r="B7">
            <v>1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Views>
    <sheetView showZeros="0" tabSelected="1" workbookViewId="0">
      <selection activeCell="N2" sqref="N2:O2"/>
    </sheetView>
  </sheetViews>
  <sheetFormatPr defaultRowHeight="14.4" x14ac:dyDescent="0.3"/>
  <cols>
    <col min="1" max="1" width="4.5546875" customWidth="1"/>
    <col min="2" max="2" width="20.88671875" customWidth="1"/>
    <col min="3" max="3" width="4.88671875" customWidth="1"/>
    <col min="4" max="4" width="7.88671875" customWidth="1"/>
    <col min="5" max="5" width="5.88671875" customWidth="1"/>
    <col min="6" max="6" width="10.88671875" customWidth="1"/>
    <col min="7" max="8" width="6.5546875" customWidth="1"/>
    <col min="9" max="10" width="6.109375" customWidth="1"/>
    <col min="11" max="11" width="9.88671875" customWidth="1"/>
    <col min="12" max="12" width="6.109375" customWidth="1"/>
    <col min="13" max="13" width="9.6640625" customWidth="1"/>
    <col min="14" max="14" width="6.21875" customWidth="1"/>
    <col min="15" max="15" width="9.88671875" customWidth="1"/>
    <col min="16" max="16" width="5.88671875" customWidth="1"/>
    <col min="17" max="17" width="6.109375" customWidth="1"/>
    <col min="18" max="18" width="5.88671875" customWidth="1"/>
    <col min="19" max="19" width="9.6640625" customWidth="1"/>
    <col min="20" max="20" width="14.44140625" customWidth="1"/>
    <col min="21" max="21" width="23" customWidth="1"/>
  </cols>
  <sheetData>
    <row r="1" spans="1:21" ht="15.6" x14ac:dyDescent="0.3">
      <c r="A1" s="8"/>
      <c r="B1" s="9"/>
      <c r="C1" s="8"/>
      <c r="D1" s="10"/>
      <c r="E1" s="11"/>
      <c r="F1" s="12"/>
      <c r="G1" s="11"/>
      <c r="H1" s="12"/>
      <c r="I1" s="11"/>
      <c r="J1" s="11"/>
      <c r="K1" s="12"/>
      <c r="L1" s="11"/>
      <c r="M1" s="12"/>
      <c r="N1" s="11"/>
      <c r="O1" s="12"/>
      <c r="P1" s="11"/>
      <c r="Q1" s="12"/>
      <c r="R1" s="11"/>
      <c r="S1" s="12"/>
      <c r="T1" s="92" t="s">
        <v>0</v>
      </c>
      <c r="U1" s="93"/>
    </row>
    <row r="2" spans="1:21" ht="32.4" customHeight="1" x14ac:dyDescent="0.3">
      <c r="A2" s="94" t="s">
        <v>1</v>
      </c>
      <c r="B2" s="95" t="s">
        <v>2</v>
      </c>
      <c r="C2" s="86" t="s">
        <v>3</v>
      </c>
      <c r="D2" s="98" t="s">
        <v>4</v>
      </c>
      <c r="E2" s="89" t="s">
        <v>5</v>
      </c>
      <c r="F2" s="91"/>
      <c r="G2" s="101" t="s">
        <v>6</v>
      </c>
      <c r="H2" s="101"/>
      <c r="I2" s="101"/>
      <c r="J2" s="101"/>
      <c r="K2" s="101"/>
      <c r="L2" s="89" t="s">
        <v>7</v>
      </c>
      <c r="M2" s="91"/>
      <c r="N2" s="101" t="s">
        <v>8</v>
      </c>
      <c r="O2" s="101"/>
      <c r="P2" s="101" t="s">
        <v>9</v>
      </c>
      <c r="Q2" s="101"/>
      <c r="R2" s="87" t="s">
        <v>10</v>
      </c>
      <c r="S2" s="88"/>
      <c r="T2" s="87" t="s">
        <v>11</v>
      </c>
      <c r="U2" s="88"/>
    </row>
    <row r="3" spans="1:21" ht="15.6" customHeight="1" x14ac:dyDescent="0.3">
      <c r="A3" s="94"/>
      <c r="B3" s="95"/>
      <c r="C3" s="86"/>
      <c r="D3" s="99"/>
      <c r="E3" s="76" t="s">
        <v>12</v>
      </c>
      <c r="F3" s="79" t="s">
        <v>13</v>
      </c>
      <c r="G3" s="89" t="s">
        <v>12</v>
      </c>
      <c r="H3" s="90"/>
      <c r="I3" s="90"/>
      <c r="J3" s="91"/>
      <c r="K3" s="79" t="s">
        <v>14</v>
      </c>
      <c r="L3" s="76" t="s">
        <v>12</v>
      </c>
      <c r="M3" s="79" t="s">
        <v>13</v>
      </c>
      <c r="N3" s="76" t="s">
        <v>12</v>
      </c>
      <c r="O3" s="79" t="s">
        <v>13</v>
      </c>
      <c r="P3" s="76" t="s">
        <v>12</v>
      </c>
      <c r="Q3" s="79" t="s">
        <v>13</v>
      </c>
      <c r="R3" s="76" t="s">
        <v>12</v>
      </c>
      <c r="S3" s="79" t="s">
        <v>13</v>
      </c>
      <c r="T3" s="82" t="s">
        <v>15</v>
      </c>
      <c r="U3" s="83"/>
    </row>
    <row r="4" spans="1:21" ht="15.6" customHeight="1" x14ac:dyDescent="0.3">
      <c r="A4" s="94"/>
      <c r="B4" s="96"/>
      <c r="C4" s="97"/>
      <c r="D4" s="99"/>
      <c r="E4" s="77"/>
      <c r="F4" s="80"/>
      <c r="G4" s="84" t="s">
        <v>16</v>
      </c>
      <c r="H4" s="85"/>
      <c r="I4" s="86" t="s">
        <v>17</v>
      </c>
      <c r="J4" s="86"/>
      <c r="K4" s="80"/>
      <c r="L4" s="77"/>
      <c r="M4" s="80"/>
      <c r="N4" s="77"/>
      <c r="O4" s="80"/>
      <c r="P4" s="77"/>
      <c r="Q4" s="80"/>
      <c r="R4" s="77"/>
      <c r="S4" s="80"/>
      <c r="T4" s="1"/>
      <c r="U4" s="2"/>
    </row>
    <row r="5" spans="1:21" ht="15.6" customHeight="1" x14ac:dyDescent="0.3">
      <c r="A5" s="94"/>
      <c r="B5" s="96"/>
      <c r="C5" s="97"/>
      <c r="D5" s="99"/>
      <c r="E5" s="77"/>
      <c r="F5" s="80"/>
      <c r="G5" s="76" t="s">
        <v>18</v>
      </c>
      <c r="H5" s="3" t="s">
        <v>19</v>
      </c>
      <c r="I5" s="76" t="s">
        <v>18</v>
      </c>
      <c r="J5" s="3" t="s">
        <v>19</v>
      </c>
      <c r="K5" s="80"/>
      <c r="L5" s="77"/>
      <c r="M5" s="80"/>
      <c r="N5" s="77"/>
      <c r="O5" s="80"/>
      <c r="P5" s="77"/>
      <c r="Q5" s="80"/>
      <c r="R5" s="77"/>
      <c r="S5" s="80"/>
      <c r="T5" s="1"/>
      <c r="U5" s="2"/>
    </row>
    <row r="6" spans="1:21" ht="15.6" x14ac:dyDescent="0.3">
      <c r="A6" s="94"/>
      <c r="B6" s="96"/>
      <c r="C6" s="97"/>
      <c r="D6" s="100"/>
      <c r="E6" s="78"/>
      <c r="F6" s="81"/>
      <c r="G6" s="78"/>
      <c r="H6" s="4" t="s">
        <v>20</v>
      </c>
      <c r="I6" s="78"/>
      <c r="J6" s="4" t="s">
        <v>20</v>
      </c>
      <c r="K6" s="81"/>
      <c r="L6" s="78"/>
      <c r="M6" s="81"/>
      <c r="N6" s="78"/>
      <c r="O6" s="81"/>
      <c r="P6" s="78"/>
      <c r="Q6" s="81"/>
      <c r="R6" s="78"/>
      <c r="S6" s="81"/>
      <c r="T6" s="5"/>
      <c r="U6" s="6"/>
    </row>
    <row r="7" spans="1:21" ht="15.6" x14ac:dyDescent="0.3">
      <c r="A7" s="13">
        <v>1</v>
      </c>
      <c r="B7" s="14">
        <f>IFERROR(VLOOKUP(#REF!,'[1]01'!$B$7:$V$257,2,0),0)</f>
        <v>0</v>
      </c>
      <c r="C7" s="15">
        <f>IFERROR(VLOOKUP(#REF!,'[1]01'!$B$7:$V$257,3,0),0)</f>
        <v>0</v>
      </c>
      <c r="D7" s="16">
        <f>IFERROR(VLOOKUP(#REF!,'[1]01'!$B$7:$V$257,4,0),0)</f>
        <v>0</v>
      </c>
      <c r="E7" s="17">
        <f>IFERROR(VLOOKUP(#REF!,'[1]01'!$B$7:$V$257,5,0),0)</f>
        <v>0</v>
      </c>
      <c r="F7" s="18">
        <f>D7*E7</f>
        <v>0</v>
      </c>
      <c r="G7" s="17">
        <f ca="1">IFERROR(VLOOKUP(#REF!,INDIRECT("'[Dữ liệu gốc (N-X-T).xls]"&amp;TEXT(#REF!,"00")&amp;"'!$B$7:$V$257"),7,0),0)</f>
        <v>0</v>
      </c>
      <c r="H7" s="16">
        <f ca="1">IFERROR(VLOOKUP(#REF!,INDIRECT("'[Dữ liệu gốc (N-X-T).xls]"&amp;TEXT(#REF!,"00")&amp;"'!$B$7:$V$257"),8,0),0)</f>
        <v>0</v>
      </c>
      <c r="I7" s="17">
        <f ca="1">IFERROR(VLOOKUP(#REF!,INDIRECT("'[Dữ liệu gốc (N-X-T).xls]"&amp;TEXT(#REF!,"00")&amp;"'!$B$7:$V$257"),9,0),0)</f>
        <v>0</v>
      </c>
      <c r="J7" s="17">
        <f ca="1">IFERROR(VLOOKUP(#REF!,INDIRECT("'[Dữ liệu gốc (N-X-T).xls]"&amp;TEXT(#REF!,"00")&amp;"'!$B$7:$V$257"),10,0),0)</f>
        <v>0</v>
      </c>
      <c r="K7" s="19">
        <f ca="1">G7*D7+I7*D7+J7*D7+H7*D7</f>
        <v>0</v>
      </c>
      <c r="L7" s="20">
        <f ca="1">IFERROR(VLOOKUP(#REF!,INDIRECT("'[Dữ liệu gốc (N-X-T).xls]"&amp;TEXT(#REF!,"00")&amp;"'!$B$7:$V$257"),12,0),0)</f>
        <v>0</v>
      </c>
      <c r="M7" s="19">
        <f ca="1">L7*D7</f>
        <v>0</v>
      </c>
      <c r="N7" s="17">
        <f ca="1">IFERROR(VLOOKUP(#REF!,INDIRECT("'[Dữ liệu gốc (N-X-T).xls]"&amp;TEXT(#REF!,"00")&amp;"'!$B$7:$V$257"),14,0),0)</f>
        <v>0</v>
      </c>
      <c r="O7" s="18">
        <f ca="1">D7*N7</f>
        <v>0</v>
      </c>
      <c r="P7" s="17">
        <f ca="1">IFERROR(VLOOKUP(#REF!,INDIRECT("'[Dữ liệu gốc (N-X-T).xls]"&amp;TEXT(#REF!,"00")&amp;"'!$B$7:$V$257"),16,0),0)</f>
        <v>0</v>
      </c>
      <c r="Q7" s="18">
        <f ca="1">D7*P7</f>
        <v>0</v>
      </c>
      <c r="R7" s="21">
        <f ca="1">N7+P7</f>
        <v>0</v>
      </c>
      <c r="S7" s="18">
        <f ca="1">R7*D7</f>
        <v>0</v>
      </c>
      <c r="T7" s="72" t="s">
        <v>21</v>
      </c>
      <c r="U7" s="73"/>
    </row>
    <row r="8" spans="1:21" ht="15.6" x14ac:dyDescent="0.3">
      <c r="A8" s="22">
        <v>2</v>
      </c>
      <c r="B8" s="23">
        <f>IFERROR(VLOOKUP(#REF!,'[1]01'!$B$7:$V$257,2,0),0)</f>
        <v>0</v>
      </c>
      <c r="C8" s="24">
        <f>IFERROR(VLOOKUP(#REF!,'[1]01'!$B$7:$V$257,3,0),0)</f>
        <v>0</v>
      </c>
      <c r="D8" s="25">
        <f>IFERROR(VLOOKUP(#REF!,'[1]01'!$B$7:$V$257,4,0),0)</f>
        <v>0</v>
      </c>
      <c r="E8" s="26">
        <f>IFERROR(VLOOKUP(#REF!,'[1]01'!$B$7:$V$257,5,0),0)</f>
        <v>0</v>
      </c>
      <c r="F8" s="27">
        <f>D8*E8</f>
        <v>0</v>
      </c>
      <c r="G8" s="26">
        <f ca="1">IFERROR(VLOOKUP(#REF!,INDIRECT("'[Dữ liệu gốc (N-X-T).xls]"&amp;TEXT(#REF!,"00")&amp;"'!$B$7:$V$257"),7,0),0)</f>
        <v>0</v>
      </c>
      <c r="H8" s="25">
        <f ca="1">IFERROR(VLOOKUP(#REF!,INDIRECT("'[Dữ liệu gốc (N-X-T).xls]"&amp;TEXT(#REF!,"00")&amp;"'!$B$7:$V$257"),8,0),0)</f>
        <v>0</v>
      </c>
      <c r="I8" s="26">
        <f ca="1">IFERROR(VLOOKUP(#REF!,INDIRECT("'[Dữ liệu gốc (N-X-T).xls]"&amp;TEXT(#REF!,"00")&amp;"'!$B$7:$V$257"),9,0),0)</f>
        <v>0</v>
      </c>
      <c r="J8" s="26">
        <f ca="1">IFERROR(VLOOKUP(#REF!,INDIRECT("'[Dữ liệu gốc (N-X-T).xls]"&amp;TEXT(#REF!,"00")&amp;"'!$B$7:$V$257"),10,0),0)</f>
        <v>0</v>
      </c>
      <c r="K8" s="28">
        <f t="shared" ref="K8:K52" ca="1" si="0">G8*D8+I8*D8+J8*D8+H8*D8</f>
        <v>0</v>
      </c>
      <c r="L8" s="29">
        <f ca="1">IFERROR(VLOOKUP(#REF!,INDIRECT("'[Dữ liệu gốc (N-X-T).xls]"&amp;TEXT(#REF!,"00")&amp;"'!$B$7:$V$257"),12,0),0)</f>
        <v>0</v>
      </c>
      <c r="M8" s="28">
        <f t="shared" ref="M8:M67" ca="1" si="1">L8*D8</f>
        <v>0</v>
      </c>
      <c r="N8" s="26">
        <f ca="1">IFERROR(VLOOKUP(#REF!,INDIRECT("'[Dữ liệu gốc (N-X-T).xls]"&amp;TEXT(#REF!,"00")&amp;"'!$B$7:$V$257"),14,0),0)</f>
        <v>0</v>
      </c>
      <c r="O8" s="27">
        <f t="shared" ref="O8:O67" ca="1" si="2">D8*N8</f>
        <v>0</v>
      </c>
      <c r="P8" s="26">
        <f ca="1">IFERROR(VLOOKUP(#REF!,INDIRECT("'[Dữ liệu gốc (N-X-T).xls]"&amp;TEXT(#REF!,"00")&amp;"'!$B$7:$V$257"),16,0),0)</f>
        <v>0</v>
      </c>
      <c r="Q8" s="27">
        <f ca="1">D8*P8</f>
        <v>0</v>
      </c>
      <c r="R8" s="30">
        <f ca="1">N8+P8</f>
        <v>0</v>
      </c>
      <c r="S8" s="27">
        <f ca="1">R8*D8</f>
        <v>0</v>
      </c>
      <c r="T8" s="31" t="s">
        <v>22</v>
      </c>
      <c r="U8" s="7">
        <v>72000</v>
      </c>
    </row>
    <row r="9" spans="1:21" ht="15.6" x14ac:dyDescent="0.3">
      <c r="A9" s="22">
        <v>3</v>
      </c>
      <c r="B9" s="23">
        <f>IFERROR(VLOOKUP(#REF!,'[1]01'!$B$7:$V$257,2,0),0)</f>
        <v>0</v>
      </c>
      <c r="C9" s="24">
        <f>IFERROR(VLOOKUP(#REF!,'[1]01'!$B$7:$V$257,3,0),0)</f>
        <v>0</v>
      </c>
      <c r="D9" s="25">
        <f>IFERROR(VLOOKUP(#REF!,'[1]01'!$B$7:$V$257,4,0),0)</f>
        <v>0</v>
      </c>
      <c r="E9" s="26">
        <f>IFERROR(VLOOKUP(#REF!,'[1]01'!$B$7:$V$257,5,0),0)</f>
        <v>0</v>
      </c>
      <c r="F9" s="27">
        <f>D9*E9</f>
        <v>0</v>
      </c>
      <c r="G9" s="26">
        <f ca="1">IFERROR(VLOOKUP(#REF!,INDIRECT("'[Dữ liệu gốc (N-X-T).xls]"&amp;TEXT(#REF!,"00")&amp;"'!$B$7:$V$257"),7,0),0)</f>
        <v>0</v>
      </c>
      <c r="H9" s="25">
        <f ca="1">IFERROR(VLOOKUP(#REF!,INDIRECT("'[Dữ liệu gốc (N-X-T).xls]"&amp;TEXT(#REF!,"00")&amp;"'!$B$7:$V$257"),8,0),0)</f>
        <v>0</v>
      </c>
      <c r="I9" s="26">
        <f ca="1">IFERROR(VLOOKUP(#REF!,INDIRECT("'[Dữ liệu gốc (N-X-T).xls]"&amp;TEXT(#REF!,"00")&amp;"'!$B$7:$V$257"),9,0),0)</f>
        <v>0</v>
      </c>
      <c r="J9" s="26">
        <f ca="1">IFERROR(VLOOKUP(#REF!,INDIRECT("'[Dữ liệu gốc (N-X-T).xls]"&amp;TEXT(#REF!,"00")&amp;"'!$B$7:$V$257"),10,0),0)</f>
        <v>0</v>
      </c>
      <c r="K9" s="28">
        <f t="shared" ca="1" si="0"/>
        <v>0</v>
      </c>
      <c r="L9" s="29">
        <f ca="1">IFERROR(VLOOKUP(#REF!,INDIRECT("'[Dữ liệu gốc (N-X-T).xls]"&amp;TEXT(#REF!,"00")&amp;"'!$B$7:$V$257"),12,0),0)</f>
        <v>0</v>
      </c>
      <c r="M9" s="28">
        <f t="shared" ca="1" si="1"/>
        <v>0</v>
      </c>
      <c r="N9" s="26">
        <f ca="1">IFERROR(VLOOKUP(#REF!,INDIRECT("'[Dữ liệu gốc (N-X-T).xls]"&amp;TEXT(#REF!,"00")&amp;"'!$B$7:$V$257"),14,0),0)</f>
        <v>0</v>
      </c>
      <c r="O9" s="27">
        <f t="shared" ca="1" si="2"/>
        <v>0</v>
      </c>
      <c r="P9" s="26">
        <f ca="1">IFERROR(VLOOKUP(#REF!,INDIRECT("'[Dữ liệu gốc (N-X-T).xls]"&amp;TEXT(#REF!,"00")&amp;"'!$B$7:$V$257"),16,0),0)</f>
        <v>0</v>
      </c>
      <c r="Q9" s="27">
        <f ca="1">D9*P9</f>
        <v>0</v>
      </c>
      <c r="R9" s="30">
        <f ca="1">N9+P9</f>
        <v>0</v>
      </c>
      <c r="S9" s="27">
        <f ca="1">R9*D9</f>
        <v>0</v>
      </c>
      <c r="T9" s="31" t="s">
        <v>23</v>
      </c>
      <c r="U9" s="7"/>
    </row>
    <row r="10" spans="1:21" ht="15.6" x14ac:dyDescent="0.3">
      <c r="A10" s="22">
        <v>4</v>
      </c>
      <c r="B10" s="23">
        <f>IFERROR(VLOOKUP(#REF!,'[1]01'!$B$7:$V$257,2,0),0)</f>
        <v>0</v>
      </c>
      <c r="C10" s="24">
        <f>IFERROR(VLOOKUP(#REF!,'[1]01'!$B$7:$V$257,3,0),0)</f>
        <v>0</v>
      </c>
      <c r="D10" s="25">
        <f>IFERROR(VLOOKUP(#REF!,'[1]01'!$B$7:$V$257,4,0),0)</f>
        <v>0</v>
      </c>
      <c r="E10" s="26">
        <f>IFERROR(VLOOKUP(#REF!,'[1]01'!$B$7:$V$257,5,0),0)</f>
        <v>0</v>
      </c>
      <c r="F10" s="27">
        <f>D10*E10</f>
        <v>0</v>
      </c>
      <c r="G10" s="26">
        <f ca="1">IFERROR(VLOOKUP(#REF!,INDIRECT("'[Dữ liệu gốc (N-X-T).xls]"&amp;TEXT(#REF!,"00")&amp;"'!$B$7:$V$257"),7,0),0)</f>
        <v>0</v>
      </c>
      <c r="H10" s="25">
        <f ca="1">IFERROR(VLOOKUP(#REF!,INDIRECT("'[Dữ liệu gốc (N-X-T).xls]"&amp;TEXT(#REF!,"00")&amp;"'!$B$7:$V$257"),8,0),0)</f>
        <v>0</v>
      </c>
      <c r="I10" s="26">
        <f ca="1">IFERROR(VLOOKUP(#REF!,INDIRECT("'[Dữ liệu gốc (N-X-T).xls]"&amp;TEXT(#REF!,"00")&amp;"'!$B$7:$V$257"),9,0),0)</f>
        <v>0</v>
      </c>
      <c r="J10" s="26">
        <f ca="1">IFERROR(VLOOKUP(#REF!,INDIRECT("'[Dữ liệu gốc (N-X-T).xls]"&amp;TEXT(#REF!,"00")&amp;"'!$B$7:$V$257"),10,0),0)</f>
        <v>0</v>
      </c>
      <c r="K10" s="28">
        <f t="shared" ca="1" si="0"/>
        <v>0</v>
      </c>
      <c r="L10" s="29">
        <f ca="1">IFERROR(VLOOKUP(#REF!,INDIRECT("'[Dữ liệu gốc (N-X-T).xls]"&amp;TEXT(#REF!,"00")&amp;"'!$B$7:$V$257"),12,0),0)</f>
        <v>0</v>
      </c>
      <c r="M10" s="28">
        <f t="shared" ca="1" si="1"/>
        <v>0</v>
      </c>
      <c r="N10" s="26">
        <f ca="1">IFERROR(VLOOKUP(#REF!,INDIRECT("'[Dữ liệu gốc (N-X-T).xls]"&amp;TEXT(#REF!,"00")&amp;"'!$B$7:$V$257"),14,0),0)</f>
        <v>0</v>
      </c>
      <c r="O10" s="27">
        <f t="shared" ca="1" si="2"/>
        <v>0</v>
      </c>
      <c r="P10" s="26">
        <f ca="1">IFERROR(VLOOKUP(#REF!,INDIRECT("'[Dữ liệu gốc (N-X-T).xls]"&amp;TEXT(#REF!,"00")&amp;"'!$B$7:$V$257"),16,0),0)</f>
        <v>0</v>
      </c>
      <c r="Q10" s="27">
        <f ca="1">D10*P10</f>
        <v>0</v>
      </c>
      <c r="R10" s="30">
        <f ca="1">N10+P10</f>
        <v>0</v>
      </c>
      <c r="S10" s="27">
        <f ca="1">R10*D10</f>
        <v>0</v>
      </c>
      <c r="T10" s="31" t="s">
        <v>24</v>
      </c>
      <c r="U10" s="7"/>
    </row>
    <row r="11" spans="1:21" ht="15.6" x14ac:dyDescent="0.3">
      <c r="A11" s="22">
        <v>5</v>
      </c>
      <c r="B11" s="23">
        <f>IFERROR(VLOOKUP(#REF!,'[1]01'!$B$7:$V$257,2,0),0)</f>
        <v>0</v>
      </c>
      <c r="C11" s="24">
        <f>IFERROR(VLOOKUP(#REF!,'[1]01'!$B$7:$V$257,3,0),0)</f>
        <v>0</v>
      </c>
      <c r="D11" s="25">
        <f>IFERROR(VLOOKUP(#REF!,'[1]01'!$B$7:$V$257,4,0),0)</f>
        <v>0</v>
      </c>
      <c r="E11" s="26">
        <f>IFERROR(VLOOKUP(#REF!,'[1]01'!$B$7:$V$257,5,0),0)</f>
        <v>0</v>
      </c>
      <c r="F11" s="27">
        <f>D11*E11</f>
        <v>0</v>
      </c>
      <c r="G11" s="26">
        <f ca="1">IFERROR(VLOOKUP(#REF!,INDIRECT("'[Dữ liệu gốc (N-X-T).xls]"&amp;TEXT(#REF!,"00")&amp;"'!$B$7:$V$257"),7,0),0)</f>
        <v>0</v>
      </c>
      <c r="H11" s="25">
        <f ca="1">IFERROR(VLOOKUP(#REF!,INDIRECT("'[Dữ liệu gốc (N-X-T).xls]"&amp;TEXT(#REF!,"00")&amp;"'!$B$7:$V$257"),8,0),0)</f>
        <v>0</v>
      </c>
      <c r="I11" s="26">
        <f ca="1">IFERROR(VLOOKUP(#REF!,INDIRECT("'[Dữ liệu gốc (N-X-T).xls]"&amp;TEXT(#REF!,"00")&amp;"'!$B$7:$V$257"),9,0),0)</f>
        <v>0</v>
      </c>
      <c r="J11" s="26">
        <f ca="1">IFERROR(VLOOKUP(#REF!,INDIRECT("'[Dữ liệu gốc (N-X-T).xls]"&amp;TEXT(#REF!,"00")&amp;"'!$B$7:$V$257"),10,0),0)</f>
        <v>0</v>
      </c>
      <c r="K11" s="28">
        <f t="shared" ca="1" si="0"/>
        <v>0</v>
      </c>
      <c r="L11" s="29">
        <f ca="1">IFERROR(VLOOKUP(#REF!,INDIRECT("'[Dữ liệu gốc (N-X-T).xls]"&amp;TEXT(#REF!,"00")&amp;"'!$B$7:$V$257"),12,0),0)</f>
        <v>0</v>
      </c>
      <c r="M11" s="28">
        <f t="shared" ca="1" si="1"/>
        <v>0</v>
      </c>
      <c r="N11" s="26">
        <f ca="1">IFERROR(VLOOKUP(#REF!,INDIRECT("'[Dữ liệu gốc (N-X-T).xls]"&amp;TEXT(#REF!,"00")&amp;"'!$B$7:$V$257"),14,0),0)</f>
        <v>0</v>
      </c>
      <c r="O11" s="27">
        <f t="shared" ca="1" si="2"/>
        <v>0</v>
      </c>
      <c r="P11" s="26">
        <f ca="1">IFERROR(VLOOKUP(#REF!,INDIRECT("'[Dữ liệu gốc (N-X-T).xls]"&amp;TEXT(#REF!,"00")&amp;"'!$B$7:$V$257"),16,0),0)</f>
        <v>0</v>
      </c>
      <c r="Q11" s="27">
        <f ca="1">D11*P11</f>
        <v>0</v>
      </c>
      <c r="R11" s="30">
        <f ca="1">N11+P11</f>
        <v>0</v>
      </c>
      <c r="S11" s="27">
        <f ca="1">R11*D11</f>
        <v>0</v>
      </c>
      <c r="T11" s="31" t="s">
        <v>25</v>
      </c>
      <c r="U11" s="7"/>
    </row>
    <row r="12" spans="1:21" ht="15.6" x14ac:dyDescent="0.3">
      <c r="A12" s="22">
        <v>6</v>
      </c>
      <c r="B12" s="23">
        <f>IFERROR(VLOOKUP(#REF!,'[1]01'!$B$7:$V$257,2,0),0)</f>
        <v>0</v>
      </c>
      <c r="C12" s="24">
        <f>IFERROR(VLOOKUP(#REF!,'[1]01'!$B$7:$V$257,3,0),0)</f>
        <v>0</v>
      </c>
      <c r="D12" s="25">
        <f>IFERROR(VLOOKUP(#REF!,'[1]01'!$B$7:$V$257,4,0),0)</f>
        <v>0</v>
      </c>
      <c r="E12" s="26">
        <f>IFERROR(VLOOKUP(#REF!,'[1]01'!$B$7:$V$257,5,0),0)</f>
        <v>0</v>
      </c>
      <c r="F12" s="27">
        <f t="shared" ref="F12:F50" si="3">D12*E12</f>
        <v>0</v>
      </c>
      <c r="G12" s="26">
        <f ca="1">IFERROR(VLOOKUP(#REF!,INDIRECT("'[Dữ liệu gốc (N-X-T).xls]"&amp;TEXT(#REF!,"00")&amp;"'!$B$7:$V$257"),7,0),0)</f>
        <v>0</v>
      </c>
      <c r="H12" s="25">
        <f ca="1">IFERROR(VLOOKUP(#REF!,INDIRECT("'[Dữ liệu gốc (N-X-T).xls]"&amp;TEXT(#REF!,"00")&amp;"'!$B$7:$V$257"),8,0),0)</f>
        <v>0</v>
      </c>
      <c r="I12" s="26">
        <f ca="1">IFERROR(VLOOKUP(#REF!,INDIRECT("'[Dữ liệu gốc (N-X-T).xls]"&amp;TEXT(#REF!,"00")&amp;"'!$B$7:$V$257"),9,0),0)</f>
        <v>0</v>
      </c>
      <c r="J12" s="26">
        <f ca="1">IFERROR(VLOOKUP(#REF!,INDIRECT("'[Dữ liệu gốc (N-X-T).xls]"&amp;TEXT(#REF!,"00")&amp;"'!$B$7:$V$257"),10,0),0)</f>
        <v>0</v>
      </c>
      <c r="K12" s="28">
        <f t="shared" ca="1" si="0"/>
        <v>0</v>
      </c>
      <c r="L12" s="29">
        <f ca="1">IFERROR(VLOOKUP(#REF!,INDIRECT("'[Dữ liệu gốc (N-X-T).xls]"&amp;TEXT(#REF!,"00")&amp;"'!$B$7:$V$257"),12,0),0)</f>
        <v>0</v>
      </c>
      <c r="M12" s="28">
        <f t="shared" ca="1" si="1"/>
        <v>0</v>
      </c>
      <c r="N12" s="26">
        <f ca="1">IFERROR(VLOOKUP(#REF!,INDIRECT("'[Dữ liệu gốc (N-X-T).xls]"&amp;TEXT(#REF!,"00")&amp;"'!$B$7:$V$257"),14,0),0)</f>
        <v>0</v>
      </c>
      <c r="O12" s="27">
        <f t="shared" ca="1" si="2"/>
        <v>0</v>
      </c>
      <c r="P12" s="26">
        <f ca="1">IFERROR(VLOOKUP(#REF!,INDIRECT("'[Dữ liệu gốc (N-X-T).xls]"&amp;TEXT(#REF!,"00")&amp;"'!$B$7:$V$257"),16,0),0)</f>
        <v>0</v>
      </c>
      <c r="Q12" s="27">
        <f t="shared" ref="Q12:Q50" ca="1" si="4">D12*P12</f>
        <v>0</v>
      </c>
      <c r="R12" s="30">
        <f t="shared" ref="R12:R50" ca="1" si="5">N12+P12</f>
        <v>0</v>
      </c>
      <c r="S12" s="27">
        <f t="shared" ref="S12:S50" ca="1" si="6">R12*D12</f>
        <v>0</v>
      </c>
      <c r="T12" s="31" t="s">
        <v>22</v>
      </c>
      <c r="U12" s="7">
        <v>130000</v>
      </c>
    </row>
    <row r="13" spans="1:21" ht="15.6" x14ac:dyDescent="0.3">
      <c r="A13" s="22">
        <v>7</v>
      </c>
      <c r="B13" s="23">
        <f>IFERROR(VLOOKUP(#REF!,'[1]01'!$B$7:$V$257,2,0),0)</f>
        <v>0</v>
      </c>
      <c r="C13" s="24">
        <f>IFERROR(VLOOKUP(#REF!,'[1]01'!$B$7:$V$257,3,0),0)</f>
        <v>0</v>
      </c>
      <c r="D13" s="25">
        <f>IFERROR(VLOOKUP(#REF!,'[1]01'!$B$7:$V$257,4,0),0)</f>
        <v>0</v>
      </c>
      <c r="E13" s="26">
        <f>IFERROR(VLOOKUP(#REF!,'[1]01'!$B$7:$V$257,5,0),0)</f>
        <v>0</v>
      </c>
      <c r="F13" s="27">
        <f t="shared" si="3"/>
        <v>0</v>
      </c>
      <c r="G13" s="26">
        <f ca="1">IFERROR(VLOOKUP(#REF!,INDIRECT("'[Dữ liệu gốc (N-X-T).xls]"&amp;TEXT(#REF!,"00")&amp;"'!$B$7:$V$257"),7,0),0)</f>
        <v>0</v>
      </c>
      <c r="H13" s="25">
        <f ca="1">IFERROR(VLOOKUP(#REF!,INDIRECT("'[Dữ liệu gốc (N-X-T).xls]"&amp;TEXT(#REF!,"00")&amp;"'!$B$7:$V$257"),8,0),0)</f>
        <v>0</v>
      </c>
      <c r="I13" s="26">
        <f ca="1">IFERROR(VLOOKUP(#REF!,INDIRECT("'[Dữ liệu gốc (N-X-T).xls]"&amp;TEXT(#REF!,"00")&amp;"'!$B$7:$V$257"),9,0),0)</f>
        <v>0</v>
      </c>
      <c r="J13" s="26">
        <f ca="1">IFERROR(VLOOKUP(#REF!,INDIRECT("'[Dữ liệu gốc (N-X-T).xls]"&amp;TEXT(#REF!,"00")&amp;"'!$B$7:$V$257"),10,0),0)</f>
        <v>0</v>
      </c>
      <c r="K13" s="28">
        <f t="shared" ca="1" si="0"/>
        <v>0</v>
      </c>
      <c r="L13" s="29">
        <f ca="1">IFERROR(VLOOKUP(#REF!,INDIRECT("'[Dữ liệu gốc (N-X-T).xls]"&amp;TEXT(#REF!,"00")&amp;"'!$B$7:$V$257"),12,0),0)</f>
        <v>0</v>
      </c>
      <c r="M13" s="28">
        <f t="shared" ca="1" si="1"/>
        <v>0</v>
      </c>
      <c r="N13" s="26">
        <f ca="1">IFERROR(VLOOKUP(#REF!,INDIRECT("'[Dữ liệu gốc (N-X-T).xls]"&amp;TEXT(#REF!,"00")&amp;"'!$B$7:$V$257"),14,0),0)</f>
        <v>0</v>
      </c>
      <c r="O13" s="27">
        <f t="shared" ca="1" si="2"/>
        <v>0</v>
      </c>
      <c r="P13" s="26">
        <f ca="1">IFERROR(VLOOKUP(#REF!,INDIRECT("'[Dữ liệu gốc (N-X-T).xls]"&amp;TEXT(#REF!,"00")&amp;"'!$B$7:$V$257"),16,0),0)</f>
        <v>0</v>
      </c>
      <c r="Q13" s="27">
        <f t="shared" ca="1" si="4"/>
        <v>0</v>
      </c>
      <c r="R13" s="30">
        <f t="shared" ca="1" si="5"/>
        <v>0</v>
      </c>
      <c r="S13" s="27">
        <f t="shared" ca="1" si="6"/>
        <v>0</v>
      </c>
      <c r="T13" s="31" t="s">
        <v>23</v>
      </c>
      <c r="U13" s="7"/>
    </row>
    <row r="14" spans="1:21" ht="15.6" x14ac:dyDescent="0.3">
      <c r="A14" s="22">
        <v>8</v>
      </c>
      <c r="B14" s="23">
        <f>IFERROR(VLOOKUP(#REF!,'[1]01'!$B$7:$V$257,2,0),0)</f>
        <v>0</v>
      </c>
      <c r="C14" s="24">
        <f>IFERROR(VLOOKUP(#REF!,'[1]01'!$B$7:$V$257,3,0),0)</f>
        <v>0</v>
      </c>
      <c r="D14" s="25">
        <f>IFERROR(VLOOKUP(#REF!,'[1]01'!$B$7:$V$257,4,0),0)</f>
        <v>0</v>
      </c>
      <c r="E14" s="26">
        <f>IFERROR(VLOOKUP(#REF!,'[1]01'!$B$7:$V$257,5,0),0)</f>
        <v>0</v>
      </c>
      <c r="F14" s="27">
        <f t="shared" si="3"/>
        <v>0</v>
      </c>
      <c r="G14" s="26">
        <f ca="1">IFERROR(VLOOKUP(#REF!,INDIRECT("'[Dữ liệu gốc (N-X-T).xls]"&amp;TEXT(#REF!,"00")&amp;"'!$B$7:$V$257"),7,0),0)</f>
        <v>0</v>
      </c>
      <c r="H14" s="25">
        <f ca="1">IFERROR(VLOOKUP(#REF!,INDIRECT("'[Dữ liệu gốc (N-X-T).xls]"&amp;TEXT(#REF!,"00")&amp;"'!$B$7:$V$257"),8,0),0)</f>
        <v>0</v>
      </c>
      <c r="I14" s="26">
        <f ca="1">IFERROR(VLOOKUP(#REF!,INDIRECT("'[Dữ liệu gốc (N-X-T).xls]"&amp;TEXT(#REF!,"00")&amp;"'!$B$7:$V$257"),9,0),0)</f>
        <v>0</v>
      </c>
      <c r="J14" s="26">
        <f ca="1">IFERROR(VLOOKUP(#REF!,INDIRECT("'[Dữ liệu gốc (N-X-T).xls]"&amp;TEXT(#REF!,"00")&amp;"'!$B$7:$V$257"),10,0),0)</f>
        <v>0</v>
      </c>
      <c r="K14" s="28">
        <f t="shared" ca="1" si="0"/>
        <v>0</v>
      </c>
      <c r="L14" s="29">
        <f ca="1">IFERROR(VLOOKUP(#REF!,INDIRECT("'[Dữ liệu gốc (N-X-T).xls]"&amp;TEXT(#REF!,"00")&amp;"'!$B$7:$V$257"),12,0),0)</f>
        <v>0</v>
      </c>
      <c r="M14" s="28">
        <f t="shared" ca="1" si="1"/>
        <v>0</v>
      </c>
      <c r="N14" s="26">
        <f ca="1">IFERROR(VLOOKUP(#REF!,INDIRECT("'[Dữ liệu gốc (N-X-T).xls]"&amp;TEXT(#REF!,"00")&amp;"'!$B$7:$V$257"),14,0),0)</f>
        <v>0</v>
      </c>
      <c r="O14" s="27">
        <f t="shared" ca="1" si="2"/>
        <v>0</v>
      </c>
      <c r="P14" s="26">
        <f ca="1">IFERROR(VLOOKUP(#REF!,INDIRECT("'[Dữ liệu gốc (N-X-T).xls]"&amp;TEXT(#REF!,"00")&amp;"'!$B$7:$V$257"),16,0),0)</f>
        <v>0</v>
      </c>
      <c r="Q14" s="27">
        <f t="shared" ca="1" si="4"/>
        <v>0</v>
      </c>
      <c r="R14" s="30">
        <f t="shared" ca="1" si="5"/>
        <v>0</v>
      </c>
      <c r="S14" s="27">
        <f t="shared" ca="1" si="6"/>
        <v>0</v>
      </c>
      <c r="T14" s="31" t="s">
        <v>24</v>
      </c>
      <c r="U14" s="7"/>
    </row>
    <row r="15" spans="1:21" ht="15.6" x14ac:dyDescent="0.3">
      <c r="A15" s="22">
        <v>9</v>
      </c>
      <c r="B15" s="23">
        <f>IFERROR(VLOOKUP(#REF!,'[1]01'!$B$7:$V$257,2,0),0)</f>
        <v>0</v>
      </c>
      <c r="C15" s="24">
        <f>IFERROR(VLOOKUP(#REF!,'[1]01'!$B$7:$V$257,3,0),0)</f>
        <v>0</v>
      </c>
      <c r="D15" s="25">
        <f>IFERROR(VLOOKUP(#REF!,'[1]01'!$B$7:$V$257,4,0),0)</f>
        <v>0</v>
      </c>
      <c r="E15" s="26">
        <f>IFERROR(VLOOKUP(#REF!,'[1]01'!$B$7:$V$257,5,0),0)</f>
        <v>0</v>
      </c>
      <c r="F15" s="27">
        <f t="shared" si="3"/>
        <v>0</v>
      </c>
      <c r="G15" s="26">
        <f ca="1">IFERROR(VLOOKUP(#REF!,INDIRECT("'[Dữ liệu gốc (N-X-T).xls]"&amp;TEXT(#REF!,"00")&amp;"'!$B$7:$V$257"),7,0),0)</f>
        <v>0</v>
      </c>
      <c r="H15" s="25">
        <f ca="1">IFERROR(VLOOKUP(#REF!,INDIRECT("'[Dữ liệu gốc (N-X-T).xls]"&amp;TEXT(#REF!,"00")&amp;"'!$B$7:$V$257"),8,0),0)</f>
        <v>0</v>
      </c>
      <c r="I15" s="26">
        <f ca="1">IFERROR(VLOOKUP(#REF!,INDIRECT("'[Dữ liệu gốc (N-X-T).xls]"&amp;TEXT(#REF!,"00")&amp;"'!$B$7:$V$257"),9,0),0)</f>
        <v>0</v>
      </c>
      <c r="J15" s="26">
        <f ca="1">IFERROR(VLOOKUP(#REF!,INDIRECT("'[Dữ liệu gốc (N-X-T).xls]"&amp;TEXT(#REF!,"00")&amp;"'!$B$7:$V$257"),10,0),0)</f>
        <v>0</v>
      </c>
      <c r="K15" s="28">
        <f t="shared" ca="1" si="0"/>
        <v>0</v>
      </c>
      <c r="L15" s="29">
        <f ca="1">IFERROR(VLOOKUP(#REF!,INDIRECT("'[Dữ liệu gốc (N-X-T).xls]"&amp;TEXT(#REF!,"00")&amp;"'!$B$7:$V$257"),12,0),0)</f>
        <v>0</v>
      </c>
      <c r="M15" s="28">
        <f t="shared" ca="1" si="1"/>
        <v>0</v>
      </c>
      <c r="N15" s="26">
        <f ca="1">IFERROR(VLOOKUP(#REF!,INDIRECT("'[Dữ liệu gốc (N-X-T).xls]"&amp;TEXT(#REF!,"00")&amp;"'!$B$7:$V$257"),14,0),0)</f>
        <v>0</v>
      </c>
      <c r="O15" s="27">
        <f t="shared" ca="1" si="2"/>
        <v>0</v>
      </c>
      <c r="P15" s="26">
        <f ca="1">IFERROR(VLOOKUP(#REF!,INDIRECT("'[Dữ liệu gốc (N-X-T).xls]"&amp;TEXT(#REF!,"00")&amp;"'!$B$7:$V$257"),16,0),0)</f>
        <v>0</v>
      </c>
      <c r="Q15" s="27">
        <f t="shared" ca="1" si="4"/>
        <v>0</v>
      </c>
      <c r="R15" s="30">
        <f t="shared" ca="1" si="5"/>
        <v>0</v>
      </c>
      <c r="S15" s="27">
        <f t="shared" ca="1" si="6"/>
        <v>0</v>
      </c>
      <c r="T15" s="31" t="s">
        <v>25</v>
      </c>
      <c r="U15" s="7"/>
    </row>
    <row r="16" spans="1:21" ht="15.6" x14ac:dyDescent="0.3">
      <c r="A16" s="22">
        <v>10</v>
      </c>
      <c r="B16" s="23">
        <f>IFERROR(VLOOKUP(#REF!,'[1]01'!$B$7:$V$257,2,0),0)</f>
        <v>0</v>
      </c>
      <c r="C16" s="24">
        <f>IFERROR(VLOOKUP(#REF!,'[1]01'!$B$7:$V$257,3,0),0)</f>
        <v>0</v>
      </c>
      <c r="D16" s="25">
        <f>IFERROR(VLOOKUP(#REF!,'[1]01'!$B$7:$V$257,4,0),0)</f>
        <v>0</v>
      </c>
      <c r="E16" s="26">
        <f>IFERROR(VLOOKUP(#REF!,'[1]01'!$B$7:$V$257,5,0),0)</f>
        <v>0</v>
      </c>
      <c r="F16" s="27">
        <f t="shared" si="3"/>
        <v>0</v>
      </c>
      <c r="G16" s="26">
        <f ca="1">IFERROR(VLOOKUP(#REF!,INDIRECT("'[Dữ liệu gốc (N-X-T).xls]"&amp;TEXT(#REF!,"00")&amp;"'!$B$7:$V$257"),7,0),0)</f>
        <v>0</v>
      </c>
      <c r="H16" s="25">
        <f ca="1">IFERROR(VLOOKUP(#REF!,INDIRECT("'[Dữ liệu gốc (N-X-T).xls]"&amp;TEXT(#REF!,"00")&amp;"'!$B$7:$V$257"),8,0),0)</f>
        <v>0</v>
      </c>
      <c r="I16" s="26">
        <f ca="1">IFERROR(VLOOKUP(#REF!,INDIRECT("'[Dữ liệu gốc (N-X-T).xls]"&amp;TEXT(#REF!,"00")&amp;"'!$B$7:$V$257"),9,0),0)</f>
        <v>0</v>
      </c>
      <c r="J16" s="26">
        <f ca="1">IFERROR(VLOOKUP(#REF!,INDIRECT("'[Dữ liệu gốc (N-X-T).xls]"&amp;TEXT(#REF!,"00")&amp;"'!$B$7:$V$257"),10,0),0)</f>
        <v>0</v>
      </c>
      <c r="K16" s="28">
        <f t="shared" ca="1" si="0"/>
        <v>0</v>
      </c>
      <c r="L16" s="29">
        <f ca="1">IFERROR(VLOOKUP(#REF!,INDIRECT("'[Dữ liệu gốc (N-X-T).xls]"&amp;TEXT(#REF!,"00")&amp;"'!$B$7:$V$257"),12,0),0)</f>
        <v>0</v>
      </c>
      <c r="M16" s="28">
        <f t="shared" ca="1" si="1"/>
        <v>0</v>
      </c>
      <c r="N16" s="26">
        <f ca="1">IFERROR(VLOOKUP(#REF!,INDIRECT("'[Dữ liệu gốc (N-X-T).xls]"&amp;TEXT(#REF!,"00")&amp;"'!$B$7:$V$257"),14,0),0)</f>
        <v>0</v>
      </c>
      <c r="O16" s="27">
        <f t="shared" ca="1" si="2"/>
        <v>0</v>
      </c>
      <c r="P16" s="26">
        <f ca="1">IFERROR(VLOOKUP(#REF!,INDIRECT("'[Dữ liệu gốc (N-X-T).xls]"&amp;TEXT(#REF!,"00")&amp;"'!$B$7:$V$257"),16,0),0)</f>
        <v>0</v>
      </c>
      <c r="Q16" s="27">
        <f t="shared" ca="1" si="4"/>
        <v>0</v>
      </c>
      <c r="R16" s="30">
        <f t="shared" ca="1" si="5"/>
        <v>0</v>
      </c>
      <c r="S16" s="27">
        <f t="shared" ca="1" si="6"/>
        <v>0</v>
      </c>
      <c r="T16" s="74" t="s">
        <v>26</v>
      </c>
      <c r="U16" s="75"/>
    </row>
    <row r="17" spans="1:21" ht="15.6" x14ac:dyDescent="0.3">
      <c r="A17" s="22">
        <v>11</v>
      </c>
      <c r="B17" s="23">
        <f>IFERROR(VLOOKUP(#REF!,'[1]01'!$B$7:$V$257,2,0),0)</f>
        <v>0</v>
      </c>
      <c r="C17" s="24">
        <f>IFERROR(VLOOKUP(#REF!,'[1]01'!$B$7:$V$257,3,0),0)</f>
        <v>0</v>
      </c>
      <c r="D17" s="25">
        <f>IFERROR(VLOOKUP(#REF!,'[1]01'!$B$7:$V$257,4,0),0)</f>
        <v>0</v>
      </c>
      <c r="E17" s="26">
        <f>IFERROR(VLOOKUP(#REF!,'[1]01'!$B$7:$V$257,5,0),0)</f>
        <v>0</v>
      </c>
      <c r="F17" s="27">
        <f t="shared" si="3"/>
        <v>0</v>
      </c>
      <c r="G17" s="26">
        <f ca="1">IFERROR(VLOOKUP(#REF!,INDIRECT("'[Dữ liệu gốc (N-X-T).xls]"&amp;TEXT(#REF!,"00")&amp;"'!$B$7:$V$257"),7,0),0)</f>
        <v>0</v>
      </c>
      <c r="H17" s="25">
        <f ca="1">IFERROR(VLOOKUP(#REF!,INDIRECT("'[Dữ liệu gốc (N-X-T).xls]"&amp;TEXT(#REF!,"00")&amp;"'!$B$7:$V$257"),8,0),0)</f>
        <v>0</v>
      </c>
      <c r="I17" s="26">
        <f ca="1">IFERROR(VLOOKUP(#REF!,INDIRECT("'[Dữ liệu gốc (N-X-T).xls]"&amp;TEXT(#REF!,"00")&amp;"'!$B$7:$V$257"),9,0),0)</f>
        <v>0</v>
      </c>
      <c r="J17" s="26">
        <f ca="1">IFERROR(VLOOKUP(#REF!,INDIRECT("'[Dữ liệu gốc (N-X-T).xls]"&amp;TEXT(#REF!,"00")&amp;"'!$B$7:$V$257"),10,0),0)</f>
        <v>0</v>
      </c>
      <c r="K17" s="28">
        <f t="shared" ca="1" si="0"/>
        <v>0</v>
      </c>
      <c r="L17" s="29">
        <f ca="1">IFERROR(VLOOKUP(#REF!,INDIRECT("'[Dữ liệu gốc (N-X-T).xls]"&amp;TEXT(#REF!,"00")&amp;"'!$B$7:$V$257"),12,0),0)</f>
        <v>0</v>
      </c>
      <c r="M17" s="28">
        <f t="shared" ca="1" si="1"/>
        <v>0</v>
      </c>
      <c r="N17" s="26">
        <f ca="1">IFERROR(VLOOKUP(#REF!,INDIRECT("'[Dữ liệu gốc (N-X-T).xls]"&amp;TEXT(#REF!,"00")&amp;"'!$B$7:$V$257"),14,0),0)</f>
        <v>0</v>
      </c>
      <c r="O17" s="27">
        <f t="shared" ca="1" si="2"/>
        <v>0</v>
      </c>
      <c r="P17" s="26">
        <f ca="1">IFERROR(VLOOKUP(#REF!,INDIRECT("'[Dữ liệu gốc (N-X-T).xls]"&amp;TEXT(#REF!,"00")&amp;"'!$B$7:$V$257"),16,0),0)</f>
        <v>0</v>
      </c>
      <c r="Q17" s="27">
        <f t="shared" ca="1" si="4"/>
        <v>0</v>
      </c>
      <c r="R17" s="30">
        <f t="shared" ca="1" si="5"/>
        <v>0</v>
      </c>
      <c r="S17" s="27">
        <f t="shared" ca="1" si="6"/>
        <v>0</v>
      </c>
      <c r="T17" s="32" t="s">
        <v>27</v>
      </c>
      <c r="U17" s="7"/>
    </row>
    <row r="18" spans="1:21" ht="20.399999999999999" customHeight="1" x14ac:dyDescent="0.3">
      <c r="A18" s="22">
        <v>12</v>
      </c>
      <c r="B18" s="23">
        <f>IFERROR(VLOOKUP(#REF!,'[1]01'!$B$7:$V$257,2,0),0)</f>
        <v>0</v>
      </c>
      <c r="C18" s="24">
        <f>IFERROR(VLOOKUP(#REF!,'[1]01'!$B$7:$V$257,3,0),0)</f>
        <v>0</v>
      </c>
      <c r="D18" s="25">
        <f>IFERROR(VLOOKUP(#REF!,'[1]01'!$B$7:$V$257,4,0),0)</f>
        <v>0</v>
      </c>
      <c r="E18" s="26">
        <f>IFERROR(VLOOKUP(#REF!,'[1]01'!$B$7:$V$257,5,0),0)</f>
        <v>0</v>
      </c>
      <c r="F18" s="27">
        <f t="shared" si="3"/>
        <v>0</v>
      </c>
      <c r="G18" s="26">
        <f ca="1">IFERROR(VLOOKUP(#REF!,INDIRECT("'[Dữ liệu gốc (N-X-T).xls]"&amp;TEXT(#REF!,"00")&amp;"'!$B$7:$V$257"),7,0),0)</f>
        <v>0</v>
      </c>
      <c r="H18" s="25">
        <f ca="1">IFERROR(VLOOKUP(#REF!,INDIRECT("'[Dữ liệu gốc (N-X-T).xls]"&amp;TEXT(#REF!,"00")&amp;"'!$B$7:$V$257"),8,0),0)</f>
        <v>0</v>
      </c>
      <c r="I18" s="26">
        <f ca="1">IFERROR(VLOOKUP(#REF!,INDIRECT("'[Dữ liệu gốc (N-X-T).xls]"&amp;TEXT(#REF!,"00")&amp;"'!$B$7:$V$257"),9,0),0)</f>
        <v>0</v>
      </c>
      <c r="J18" s="26">
        <f ca="1">IFERROR(VLOOKUP(#REF!,INDIRECT("'[Dữ liệu gốc (N-X-T).xls]"&amp;TEXT(#REF!,"00")&amp;"'!$B$7:$V$257"),10,0),0)</f>
        <v>0</v>
      </c>
      <c r="K18" s="28">
        <f t="shared" ca="1" si="0"/>
        <v>0</v>
      </c>
      <c r="L18" s="29">
        <f ca="1">IFERROR(VLOOKUP(#REF!,INDIRECT("'[Dữ liệu gốc (N-X-T).xls]"&amp;TEXT(#REF!,"00")&amp;"'!$B$7:$V$257"),12,0),0)</f>
        <v>0</v>
      </c>
      <c r="M18" s="28">
        <f t="shared" ca="1" si="1"/>
        <v>0</v>
      </c>
      <c r="N18" s="26">
        <f ca="1">IFERROR(VLOOKUP(#REF!,INDIRECT("'[Dữ liệu gốc (N-X-T).xls]"&amp;TEXT(#REF!,"00")&amp;"'!$B$7:$V$257"),14,0),0)</f>
        <v>0</v>
      </c>
      <c r="O18" s="27">
        <f t="shared" ca="1" si="2"/>
        <v>0</v>
      </c>
      <c r="P18" s="26">
        <f ca="1">IFERROR(VLOOKUP(#REF!,INDIRECT("'[Dữ liệu gốc (N-X-T).xls]"&amp;TEXT(#REF!,"00")&amp;"'!$B$7:$V$257"),16,0),0)</f>
        <v>0</v>
      </c>
      <c r="Q18" s="27">
        <f t="shared" ca="1" si="4"/>
        <v>0</v>
      </c>
      <c r="R18" s="30">
        <f t="shared" ca="1" si="5"/>
        <v>0</v>
      </c>
      <c r="S18" s="27">
        <f t="shared" ca="1" si="6"/>
        <v>0</v>
      </c>
      <c r="T18" s="32" t="s">
        <v>28</v>
      </c>
      <c r="U18" s="7"/>
    </row>
    <row r="19" spans="1:21" ht="20.399999999999999" customHeight="1" x14ac:dyDescent="0.3">
      <c r="A19" s="22">
        <v>13</v>
      </c>
      <c r="B19" s="23">
        <f>IFERROR(VLOOKUP(#REF!,'[1]01'!$B$7:$V$257,2,0),0)</f>
        <v>0</v>
      </c>
      <c r="C19" s="24">
        <f>IFERROR(VLOOKUP(#REF!,'[1]01'!$B$7:$V$257,3,0),0)</f>
        <v>0</v>
      </c>
      <c r="D19" s="25">
        <f>IFERROR(VLOOKUP(#REF!,'[1]01'!$B$7:$V$257,4,0),0)</f>
        <v>0</v>
      </c>
      <c r="E19" s="26">
        <f>IFERROR(VLOOKUP(#REF!,'[1]01'!$B$7:$V$257,5,0),0)</f>
        <v>0</v>
      </c>
      <c r="F19" s="27">
        <f t="shared" si="3"/>
        <v>0</v>
      </c>
      <c r="G19" s="26">
        <f ca="1">IFERROR(VLOOKUP(#REF!,INDIRECT("'[Dữ liệu gốc (N-X-T).xls]"&amp;TEXT(#REF!,"00")&amp;"'!$B$7:$V$257"),7,0),0)</f>
        <v>0</v>
      </c>
      <c r="H19" s="25">
        <f ca="1">IFERROR(VLOOKUP(#REF!,INDIRECT("'[Dữ liệu gốc (N-X-T).xls]"&amp;TEXT(#REF!,"00")&amp;"'!$B$7:$V$257"),8,0),0)</f>
        <v>0</v>
      </c>
      <c r="I19" s="26">
        <f ca="1">IFERROR(VLOOKUP(#REF!,INDIRECT("'[Dữ liệu gốc (N-X-T).xls]"&amp;TEXT(#REF!,"00")&amp;"'!$B$7:$V$257"),9,0),0)</f>
        <v>0</v>
      </c>
      <c r="J19" s="26">
        <f ca="1">IFERROR(VLOOKUP(#REF!,INDIRECT("'[Dữ liệu gốc (N-X-T).xls]"&amp;TEXT(#REF!,"00")&amp;"'!$B$7:$V$257"),10,0),0)</f>
        <v>0</v>
      </c>
      <c r="K19" s="28">
        <f t="shared" ca="1" si="0"/>
        <v>0</v>
      </c>
      <c r="L19" s="29">
        <f ca="1">IFERROR(VLOOKUP(#REF!,INDIRECT("'[Dữ liệu gốc (N-X-T).xls]"&amp;TEXT(#REF!,"00")&amp;"'!$B$7:$V$257"),12,0),0)</f>
        <v>0</v>
      </c>
      <c r="M19" s="28">
        <f t="shared" ca="1" si="1"/>
        <v>0</v>
      </c>
      <c r="N19" s="26">
        <f ca="1">IFERROR(VLOOKUP(#REF!,INDIRECT("'[Dữ liệu gốc (N-X-T).xls]"&amp;TEXT(#REF!,"00")&amp;"'!$B$7:$V$257"),14,0),0)</f>
        <v>0</v>
      </c>
      <c r="O19" s="27">
        <f t="shared" ca="1" si="2"/>
        <v>0</v>
      </c>
      <c r="P19" s="26">
        <f ca="1">IFERROR(VLOOKUP(#REF!,INDIRECT("'[Dữ liệu gốc (N-X-T).xls]"&amp;TEXT(#REF!,"00")&amp;"'!$B$7:$V$257"),16,0),0)</f>
        <v>0</v>
      </c>
      <c r="Q19" s="27">
        <f t="shared" ca="1" si="4"/>
        <v>0</v>
      </c>
      <c r="R19" s="30">
        <f t="shared" ca="1" si="5"/>
        <v>0</v>
      </c>
      <c r="S19" s="27">
        <f t="shared" ca="1" si="6"/>
        <v>0</v>
      </c>
      <c r="T19" s="32" t="s">
        <v>29</v>
      </c>
      <c r="U19" s="7"/>
    </row>
    <row r="20" spans="1:21" ht="15.6" x14ac:dyDescent="0.3">
      <c r="A20" s="22">
        <v>14</v>
      </c>
      <c r="B20" s="23">
        <f>IFERROR(VLOOKUP(#REF!,'[1]01'!$B$7:$V$257,2,0),0)</f>
        <v>0</v>
      </c>
      <c r="C20" s="24">
        <f>IFERROR(VLOOKUP(#REF!,'[1]01'!$B$7:$V$257,3,0),0)</f>
        <v>0</v>
      </c>
      <c r="D20" s="25">
        <f>IFERROR(VLOOKUP(#REF!,'[1]01'!$B$7:$V$257,4,0),0)</f>
        <v>0</v>
      </c>
      <c r="E20" s="26">
        <f>IFERROR(VLOOKUP(#REF!,'[1]01'!$B$7:$V$257,5,0),0)</f>
        <v>0</v>
      </c>
      <c r="F20" s="27">
        <f t="shared" si="3"/>
        <v>0</v>
      </c>
      <c r="G20" s="26">
        <f ca="1">IFERROR(VLOOKUP(#REF!,INDIRECT("'[Dữ liệu gốc (N-X-T).xls]"&amp;TEXT(#REF!,"00")&amp;"'!$B$7:$V$257"),7,0),0)</f>
        <v>0</v>
      </c>
      <c r="H20" s="25">
        <f ca="1">IFERROR(VLOOKUP(#REF!,INDIRECT("'[Dữ liệu gốc (N-X-T).xls]"&amp;TEXT(#REF!,"00")&amp;"'!$B$7:$V$257"),8,0),0)</f>
        <v>0</v>
      </c>
      <c r="I20" s="26">
        <f ca="1">IFERROR(VLOOKUP(#REF!,INDIRECT("'[Dữ liệu gốc (N-X-T).xls]"&amp;TEXT(#REF!,"00")&amp;"'!$B$7:$V$257"),9,0),0)</f>
        <v>0</v>
      </c>
      <c r="J20" s="26">
        <f ca="1">IFERROR(VLOOKUP(#REF!,INDIRECT("'[Dữ liệu gốc (N-X-T).xls]"&amp;TEXT(#REF!,"00")&amp;"'!$B$7:$V$257"),10,0),0)</f>
        <v>0</v>
      </c>
      <c r="K20" s="28">
        <f t="shared" ca="1" si="0"/>
        <v>0</v>
      </c>
      <c r="L20" s="29">
        <f ca="1">IFERROR(VLOOKUP(#REF!,INDIRECT("'[Dữ liệu gốc (N-X-T).xls]"&amp;TEXT(#REF!,"00")&amp;"'!$B$7:$V$257"),12,0),0)</f>
        <v>0</v>
      </c>
      <c r="M20" s="28">
        <f t="shared" ca="1" si="1"/>
        <v>0</v>
      </c>
      <c r="N20" s="26">
        <f ca="1">IFERROR(VLOOKUP(#REF!,INDIRECT("'[Dữ liệu gốc (N-X-T).xls]"&amp;TEXT(#REF!,"00")&amp;"'!$B$7:$V$257"),14,0),0)</f>
        <v>0</v>
      </c>
      <c r="O20" s="27">
        <f t="shared" ca="1" si="2"/>
        <v>0</v>
      </c>
      <c r="P20" s="26">
        <f ca="1">IFERROR(VLOOKUP(#REF!,INDIRECT("'[Dữ liệu gốc (N-X-T).xls]"&amp;TEXT(#REF!,"00")&amp;"'!$B$7:$V$257"),16,0),0)</f>
        <v>0</v>
      </c>
      <c r="Q20" s="27">
        <f t="shared" ca="1" si="4"/>
        <v>0</v>
      </c>
      <c r="R20" s="30">
        <f t="shared" ca="1" si="5"/>
        <v>0</v>
      </c>
      <c r="S20" s="27">
        <f t="shared" ca="1" si="6"/>
        <v>0</v>
      </c>
      <c r="T20" s="32" t="s">
        <v>30</v>
      </c>
      <c r="U20" s="33"/>
    </row>
    <row r="21" spans="1:21" ht="15.6" x14ac:dyDescent="0.3">
      <c r="A21" s="22">
        <v>15</v>
      </c>
      <c r="B21" s="23">
        <f>IFERROR(VLOOKUP(#REF!,'[1]01'!$B$7:$V$257,2,0),0)</f>
        <v>0</v>
      </c>
      <c r="C21" s="24">
        <f>IFERROR(VLOOKUP(#REF!,'[1]01'!$B$7:$V$257,3,0),0)</f>
        <v>0</v>
      </c>
      <c r="D21" s="25">
        <f>IFERROR(VLOOKUP(#REF!,'[1]01'!$B$7:$V$257,4,0),0)</f>
        <v>0</v>
      </c>
      <c r="E21" s="26">
        <f>IFERROR(VLOOKUP(#REF!,'[1]01'!$B$7:$V$257,5,0),0)</f>
        <v>0</v>
      </c>
      <c r="F21" s="27">
        <f t="shared" si="3"/>
        <v>0</v>
      </c>
      <c r="G21" s="26">
        <f ca="1">IFERROR(VLOOKUP(#REF!,INDIRECT("'[Dữ liệu gốc (N-X-T).xls]"&amp;TEXT(#REF!,"00")&amp;"'!$B$7:$V$257"),7,0),0)</f>
        <v>0</v>
      </c>
      <c r="H21" s="25">
        <f ca="1">IFERROR(VLOOKUP(#REF!,INDIRECT("'[Dữ liệu gốc (N-X-T).xls]"&amp;TEXT(#REF!,"00")&amp;"'!$B$7:$V$257"),8,0),0)</f>
        <v>0</v>
      </c>
      <c r="I21" s="26">
        <f ca="1">IFERROR(VLOOKUP(#REF!,INDIRECT("'[Dữ liệu gốc (N-X-T).xls]"&amp;TEXT(#REF!,"00")&amp;"'!$B$7:$V$257"),9,0),0)</f>
        <v>0</v>
      </c>
      <c r="J21" s="26">
        <f ca="1">IFERROR(VLOOKUP(#REF!,INDIRECT("'[Dữ liệu gốc (N-X-T).xls]"&amp;TEXT(#REF!,"00")&amp;"'!$B$7:$V$257"),10,0),0)</f>
        <v>0</v>
      </c>
      <c r="K21" s="28">
        <f t="shared" ca="1" si="0"/>
        <v>0</v>
      </c>
      <c r="L21" s="29">
        <f ca="1">IFERROR(VLOOKUP(#REF!,INDIRECT("'[Dữ liệu gốc (N-X-T).xls]"&amp;TEXT(#REF!,"00")&amp;"'!$B$7:$V$257"),12,0),0)</f>
        <v>0</v>
      </c>
      <c r="M21" s="28">
        <f t="shared" ca="1" si="1"/>
        <v>0</v>
      </c>
      <c r="N21" s="26">
        <f ca="1">IFERROR(VLOOKUP(#REF!,INDIRECT("'[Dữ liệu gốc (N-X-T).xls]"&amp;TEXT(#REF!,"00")&amp;"'!$B$7:$V$257"),14,0),0)</f>
        <v>0</v>
      </c>
      <c r="O21" s="27">
        <f t="shared" ca="1" si="2"/>
        <v>0</v>
      </c>
      <c r="P21" s="26">
        <f ca="1">IFERROR(VLOOKUP(#REF!,INDIRECT("'[Dữ liệu gốc (N-X-T).xls]"&amp;TEXT(#REF!,"00")&amp;"'!$B$7:$V$257"),16,0),0)</f>
        <v>0</v>
      </c>
      <c r="Q21" s="27">
        <f t="shared" ca="1" si="4"/>
        <v>0</v>
      </c>
      <c r="R21" s="30">
        <f t="shared" ca="1" si="5"/>
        <v>0</v>
      </c>
      <c r="S21" s="27">
        <f t="shared" ca="1" si="6"/>
        <v>0</v>
      </c>
      <c r="T21" s="34" t="s">
        <v>31</v>
      </c>
      <c r="U21" s="35"/>
    </row>
    <row r="22" spans="1:21" ht="15.6" customHeight="1" x14ac:dyDescent="0.3">
      <c r="A22" s="22">
        <v>16</v>
      </c>
      <c r="B22" s="23">
        <f>IFERROR(VLOOKUP(#REF!,'[1]01'!$B$7:$V$257,2,0),0)</f>
        <v>0</v>
      </c>
      <c r="C22" s="24">
        <f>IFERROR(VLOOKUP(#REF!,'[1]01'!$B$7:$V$257,3,0),0)</f>
        <v>0</v>
      </c>
      <c r="D22" s="25">
        <f>IFERROR(VLOOKUP(#REF!,'[1]01'!$B$7:$V$257,4,0),0)</f>
        <v>0</v>
      </c>
      <c r="E22" s="26">
        <f>IFERROR(VLOOKUP(#REF!,'[1]01'!$B$7:$V$257,5,0),0)</f>
        <v>0</v>
      </c>
      <c r="F22" s="27">
        <f t="shared" si="3"/>
        <v>0</v>
      </c>
      <c r="G22" s="26">
        <f ca="1">IFERROR(VLOOKUP(#REF!,INDIRECT("'[Dữ liệu gốc (N-X-T).xls]"&amp;TEXT(#REF!,"00")&amp;"'!$B$7:$V$257"),7,0),0)</f>
        <v>0</v>
      </c>
      <c r="H22" s="25">
        <f ca="1">IFERROR(VLOOKUP(#REF!,INDIRECT("'[Dữ liệu gốc (N-X-T).xls]"&amp;TEXT(#REF!,"00")&amp;"'!$B$7:$V$257"),8,0),0)</f>
        <v>0</v>
      </c>
      <c r="I22" s="26">
        <f ca="1">IFERROR(VLOOKUP(#REF!,INDIRECT("'[Dữ liệu gốc (N-X-T).xls]"&amp;TEXT(#REF!,"00")&amp;"'!$B$7:$V$257"),9,0),0)</f>
        <v>0</v>
      </c>
      <c r="J22" s="26">
        <f ca="1">IFERROR(VLOOKUP(#REF!,INDIRECT("'[Dữ liệu gốc (N-X-T).xls]"&amp;TEXT(#REF!,"00")&amp;"'!$B$7:$V$257"),10,0),0)</f>
        <v>0</v>
      </c>
      <c r="K22" s="28">
        <f t="shared" ca="1" si="0"/>
        <v>0</v>
      </c>
      <c r="L22" s="29">
        <f ca="1">IFERROR(VLOOKUP(#REF!,INDIRECT("'[Dữ liệu gốc (N-X-T).xls]"&amp;TEXT(#REF!,"00")&amp;"'!$B$7:$V$257"),12,0),0)</f>
        <v>0</v>
      </c>
      <c r="M22" s="28">
        <f t="shared" ca="1" si="1"/>
        <v>0</v>
      </c>
      <c r="N22" s="26">
        <f ca="1">IFERROR(VLOOKUP(#REF!,INDIRECT("'[Dữ liệu gốc (N-X-T).xls]"&amp;TEXT(#REF!,"00")&amp;"'!$B$7:$V$257"),14,0),0)</f>
        <v>0</v>
      </c>
      <c r="O22" s="27">
        <f t="shared" ca="1" si="2"/>
        <v>0</v>
      </c>
      <c r="P22" s="26">
        <f ca="1">IFERROR(VLOOKUP(#REF!,INDIRECT("'[Dữ liệu gốc (N-X-T).xls]"&amp;TEXT(#REF!,"00")&amp;"'!$B$7:$V$257"),16,0),0)</f>
        <v>0</v>
      </c>
      <c r="Q22" s="27">
        <f t="shared" ca="1" si="4"/>
        <v>0</v>
      </c>
      <c r="R22" s="30">
        <f t="shared" ca="1" si="5"/>
        <v>0</v>
      </c>
      <c r="S22" s="27">
        <f t="shared" ca="1" si="6"/>
        <v>0</v>
      </c>
      <c r="T22" s="64" t="s">
        <v>32</v>
      </c>
      <c r="U22" s="65"/>
    </row>
    <row r="23" spans="1:21" ht="15.6" customHeight="1" x14ac:dyDescent="0.3">
      <c r="A23" s="22">
        <v>17</v>
      </c>
      <c r="B23" s="23">
        <f>IFERROR(VLOOKUP(#REF!,'[1]01'!$B$7:$V$257,2,0),0)</f>
        <v>0</v>
      </c>
      <c r="C23" s="24">
        <f>IFERROR(VLOOKUP(#REF!,'[1]01'!$B$7:$V$257,3,0),0)</f>
        <v>0</v>
      </c>
      <c r="D23" s="25">
        <f>IFERROR(VLOOKUP(#REF!,'[1]01'!$B$7:$V$257,4,0),0)</f>
        <v>0</v>
      </c>
      <c r="E23" s="26">
        <f>IFERROR(VLOOKUP(#REF!,'[1]01'!$B$7:$V$257,5,0),0)</f>
        <v>0</v>
      </c>
      <c r="F23" s="27">
        <f t="shared" si="3"/>
        <v>0</v>
      </c>
      <c r="G23" s="26">
        <f ca="1">IFERROR(VLOOKUP(#REF!,INDIRECT("'[Dữ liệu gốc (N-X-T).xls]"&amp;TEXT(#REF!,"00")&amp;"'!$B$7:$V$257"),7,0),0)</f>
        <v>0</v>
      </c>
      <c r="H23" s="25">
        <f ca="1">IFERROR(VLOOKUP(#REF!,INDIRECT("'[Dữ liệu gốc (N-X-T).xls]"&amp;TEXT(#REF!,"00")&amp;"'!$B$7:$V$257"),8,0),0)</f>
        <v>0</v>
      </c>
      <c r="I23" s="26">
        <f ca="1">IFERROR(VLOOKUP(#REF!,INDIRECT("'[Dữ liệu gốc (N-X-T).xls]"&amp;TEXT(#REF!,"00")&amp;"'!$B$7:$V$257"),9,0),0)</f>
        <v>0</v>
      </c>
      <c r="J23" s="26">
        <f ca="1">IFERROR(VLOOKUP(#REF!,INDIRECT("'[Dữ liệu gốc (N-X-T).xls]"&amp;TEXT(#REF!,"00")&amp;"'!$B$7:$V$257"),10,0),0)</f>
        <v>0</v>
      </c>
      <c r="K23" s="28">
        <f t="shared" ca="1" si="0"/>
        <v>0</v>
      </c>
      <c r="L23" s="29">
        <f ca="1">IFERROR(VLOOKUP(#REF!,INDIRECT("'[Dữ liệu gốc (N-X-T).xls]"&amp;TEXT(#REF!,"00")&amp;"'!$B$7:$V$257"),12,0),0)</f>
        <v>0</v>
      </c>
      <c r="M23" s="28">
        <f t="shared" ca="1" si="1"/>
        <v>0</v>
      </c>
      <c r="N23" s="26">
        <f ca="1">IFERROR(VLOOKUP(#REF!,INDIRECT("'[Dữ liệu gốc (N-X-T).xls]"&amp;TEXT(#REF!,"00")&amp;"'!$B$7:$V$257"),14,0),0)</f>
        <v>0</v>
      </c>
      <c r="O23" s="27">
        <f t="shared" ca="1" si="2"/>
        <v>0</v>
      </c>
      <c r="P23" s="26">
        <f ca="1">IFERROR(VLOOKUP(#REF!,INDIRECT("'[Dữ liệu gốc (N-X-T).xls]"&amp;TEXT(#REF!,"00")&amp;"'!$B$7:$V$257"),16,0),0)</f>
        <v>0</v>
      </c>
      <c r="Q23" s="27">
        <f t="shared" ca="1" si="4"/>
        <v>0</v>
      </c>
      <c r="R23" s="30">
        <f t="shared" ca="1" si="5"/>
        <v>0</v>
      </c>
      <c r="S23" s="27">
        <f t="shared" ca="1" si="6"/>
        <v>0</v>
      </c>
      <c r="T23" s="64" t="s">
        <v>33</v>
      </c>
      <c r="U23" s="65"/>
    </row>
    <row r="24" spans="1:21" ht="15.6" x14ac:dyDescent="0.3">
      <c r="A24" s="22">
        <v>18</v>
      </c>
      <c r="B24" s="23">
        <f>IFERROR(VLOOKUP(#REF!,'[1]01'!$B$7:$V$257,2,0),0)</f>
        <v>0</v>
      </c>
      <c r="C24" s="24">
        <f>IFERROR(VLOOKUP(#REF!,'[1]01'!$B$7:$V$257,3,0),0)</f>
        <v>0</v>
      </c>
      <c r="D24" s="25">
        <f>IFERROR(VLOOKUP(#REF!,'[1]01'!$B$7:$V$257,4,0),0)</f>
        <v>0</v>
      </c>
      <c r="E24" s="26">
        <f>IFERROR(VLOOKUP(#REF!,'[1]01'!$B$7:$V$257,5,0),0)</f>
        <v>0</v>
      </c>
      <c r="F24" s="27">
        <f t="shared" si="3"/>
        <v>0</v>
      </c>
      <c r="G24" s="26">
        <f ca="1">IFERROR(VLOOKUP(#REF!,INDIRECT("'[Dữ liệu gốc (N-X-T).xls]"&amp;TEXT(#REF!,"00")&amp;"'!$B$7:$V$257"),7,0),0)</f>
        <v>0</v>
      </c>
      <c r="H24" s="25">
        <f ca="1">IFERROR(VLOOKUP(#REF!,INDIRECT("'[Dữ liệu gốc (N-X-T).xls]"&amp;TEXT(#REF!,"00")&amp;"'!$B$7:$V$257"),8,0),0)</f>
        <v>0</v>
      </c>
      <c r="I24" s="26">
        <f ca="1">IFERROR(VLOOKUP(#REF!,INDIRECT("'[Dữ liệu gốc (N-X-T).xls]"&amp;TEXT(#REF!,"00")&amp;"'!$B$7:$V$257"),9,0),0)</f>
        <v>0</v>
      </c>
      <c r="J24" s="26">
        <f ca="1">IFERROR(VLOOKUP(#REF!,INDIRECT("'[Dữ liệu gốc (N-X-T).xls]"&amp;TEXT(#REF!,"00")&amp;"'!$B$7:$V$257"),10,0),0)</f>
        <v>0</v>
      </c>
      <c r="K24" s="28">
        <f t="shared" ca="1" si="0"/>
        <v>0</v>
      </c>
      <c r="L24" s="29">
        <f ca="1">IFERROR(VLOOKUP(#REF!,INDIRECT("'[Dữ liệu gốc (N-X-T).xls]"&amp;TEXT(#REF!,"00")&amp;"'!$B$7:$V$257"),12,0),0)</f>
        <v>0</v>
      </c>
      <c r="M24" s="28">
        <f t="shared" ca="1" si="1"/>
        <v>0</v>
      </c>
      <c r="N24" s="26">
        <f ca="1">IFERROR(VLOOKUP(#REF!,INDIRECT("'[Dữ liệu gốc (N-X-T).xls]"&amp;TEXT(#REF!,"00")&amp;"'!$B$7:$V$257"),14,0),0)</f>
        <v>0</v>
      </c>
      <c r="O24" s="27">
        <f t="shared" ca="1" si="2"/>
        <v>0</v>
      </c>
      <c r="P24" s="26">
        <f ca="1">IFERROR(VLOOKUP(#REF!,INDIRECT("'[Dữ liệu gốc (N-X-T).xls]"&amp;TEXT(#REF!,"00")&amp;"'!$B$7:$V$257"),16,0),0)</f>
        <v>0</v>
      </c>
      <c r="Q24" s="27">
        <f t="shared" ca="1" si="4"/>
        <v>0</v>
      </c>
      <c r="R24" s="30">
        <f t="shared" ca="1" si="5"/>
        <v>0</v>
      </c>
      <c r="S24" s="27">
        <f t="shared" ca="1" si="6"/>
        <v>0</v>
      </c>
      <c r="T24" s="64" t="s">
        <v>34</v>
      </c>
      <c r="U24" s="65"/>
    </row>
    <row r="25" spans="1:21" ht="15.6" x14ac:dyDescent="0.3">
      <c r="A25" s="22">
        <v>19</v>
      </c>
      <c r="B25" s="23">
        <f>IFERROR(VLOOKUP(#REF!,'[1]01'!$B$7:$V$257,2,0),0)</f>
        <v>0</v>
      </c>
      <c r="C25" s="24">
        <f>IFERROR(VLOOKUP(#REF!,'[1]01'!$B$7:$V$257,3,0),0)</f>
        <v>0</v>
      </c>
      <c r="D25" s="25">
        <f>IFERROR(VLOOKUP(#REF!,'[1]01'!$B$7:$V$257,4,0),0)</f>
        <v>0</v>
      </c>
      <c r="E25" s="26">
        <f>IFERROR(VLOOKUP(#REF!,'[1]01'!$B$7:$V$257,5,0),0)</f>
        <v>0</v>
      </c>
      <c r="F25" s="27">
        <f t="shared" si="3"/>
        <v>0</v>
      </c>
      <c r="G25" s="26">
        <f ca="1">IFERROR(VLOOKUP(#REF!,INDIRECT("'[Dữ liệu gốc (N-X-T).xls]"&amp;TEXT(#REF!,"00")&amp;"'!$B$7:$V$257"),7,0),0)</f>
        <v>0</v>
      </c>
      <c r="H25" s="25">
        <f ca="1">IFERROR(VLOOKUP(#REF!,INDIRECT("'[Dữ liệu gốc (N-X-T).xls]"&amp;TEXT(#REF!,"00")&amp;"'!$B$7:$V$257"),8,0),0)</f>
        <v>0</v>
      </c>
      <c r="I25" s="26">
        <f ca="1">IFERROR(VLOOKUP(#REF!,INDIRECT("'[Dữ liệu gốc (N-X-T).xls]"&amp;TEXT(#REF!,"00")&amp;"'!$B$7:$V$257"),9,0),0)</f>
        <v>0</v>
      </c>
      <c r="J25" s="26">
        <f ca="1">IFERROR(VLOOKUP(#REF!,INDIRECT("'[Dữ liệu gốc (N-X-T).xls]"&amp;TEXT(#REF!,"00")&amp;"'!$B$7:$V$257"),10,0),0)</f>
        <v>0</v>
      </c>
      <c r="K25" s="28">
        <f t="shared" ca="1" si="0"/>
        <v>0</v>
      </c>
      <c r="L25" s="29">
        <f ca="1">IFERROR(VLOOKUP(#REF!,INDIRECT("'[Dữ liệu gốc (N-X-T).xls]"&amp;TEXT(#REF!,"00")&amp;"'!$B$7:$V$257"),12,0),0)</f>
        <v>0</v>
      </c>
      <c r="M25" s="28">
        <f t="shared" ca="1" si="1"/>
        <v>0</v>
      </c>
      <c r="N25" s="26">
        <f ca="1">IFERROR(VLOOKUP(#REF!,INDIRECT("'[Dữ liệu gốc (N-X-T).xls]"&amp;TEXT(#REF!,"00")&amp;"'!$B$7:$V$257"),14,0),0)</f>
        <v>0</v>
      </c>
      <c r="O25" s="27">
        <f t="shared" ca="1" si="2"/>
        <v>0</v>
      </c>
      <c r="P25" s="26">
        <f ca="1">IFERROR(VLOOKUP(#REF!,INDIRECT("'[Dữ liệu gốc (N-X-T).xls]"&amp;TEXT(#REF!,"00")&amp;"'!$B$7:$V$257"),16,0),0)</f>
        <v>0</v>
      </c>
      <c r="Q25" s="27">
        <f t="shared" ca="1" si="4"/>
        <v>0</v>
      </c>
      <c r="R25" s="30">
        <f t="shared" ca="1" si="5"/>
        <v>0</v>
      </c>
      <c r="S25" s="27">
        <f t="shared" ca="1" si="6"/>
        <v>0</v>
      </c>
      <c r="T25" s="64" t="s">
        <v>35</v>
      </c>
      <c r="U25" s="65"/>
    </row>
    <row r="26" spans="1:21" ht="15.6" customHeight="1" x14ac:dyDescent="0.3">
      <c r="A26" s="22">
        <v>20</v>
      </c>
      <c r="B26" s="23">
        <f>IFERROR(VLOOKUP(#REF!,'[1]01'!$B$7:$V$257,2,0),0)</f>
        <v>0</v>
      </c>
      <c r="C26" s="24">
        <f>IFERROR(VLOOKUP(#REF!,'[1]01'!$B$7:$V$257,3,0),0)</f>
        <v>0</v>
      </c>
      <c r="D26" s="25">
        <f>IFERROR(VLOOKUP(#REF!,'[1]01'!$B$7:$V$257,4,0),0)</f>
        <v>0</v>
      </c>
      <c r="E26" s="26">
        <f>IFERROR(VLOOKUP(#REF!,'[1]01'!$B$7:$V$257,5,0),0)</f>
        <v>0</v>
      </c>
      <c r="F26" s="27">
        <f t="shared" si="3"/>
        <v>0</v>
      </c>
      <c r="G26" s="26">
        <f ca="1">IFERROR(VLOOKUP(#REF!,INDIRECT("'[Dữ liệu gốc (N-X-T).xls]"&amp;TEXT(#REF!,"00")&amp;"'!$B$7:$V$257"),7,0),0)</f>
        <v>0</v>
      </c>
      <c r="H26" s="25">
        <f ca="1">IFERROR(VLOOKUP(#REF!,INDIRECT("'[Dữ liệu gốc (N-X-T).xls]"&amp;TEXT(#REF!,"00")&amp;"'!$B$7:$V$257"),8,0),0)</f>
        <v>0</v>
      </c>
      <c r="I26" s="26">
        <f ca="1">IFERROR(VLOOKUP(#REF!,INDIRECT("'[Dữ liệu gốc (N-X-T).xls]"&amp;TEXT(#REF!,"00")&amp;"'!$B$7:$V$257"),9,0),0)</f>
        <v>0</v>
      </c>
      <c r="J26" s="26">
        <f ca="1">IFERROR(VLOOKUP(#REF!,INDIRECT("'[Dữ liệu gốc (N-X-T).xls]"&amp;TEXT(#REF!,"00")&amp;"'!$B$7:$V$257"),10,0),0)</f>
        <v>0</v>
      </c>
      <c r="K26" s="28">
        <f t="shared" ca="1" si="0"/>
        <v>0</v>
      </c>
      <c r="L26" s="29">
        <f ca="1">IFERROR(VLOOKUP(#REF!,INDIRECT("'[Dữ liệu gốc (N-X-T).xls]"&amp;TEXT(#REF!,"00")&amp;"'!$B$7:$V$257"),12,0),0)</f>
        <v>0</v>
      </c>
      <c r="M26" s="28">
        <f t="shared" ca="1" si="1"/>
        <v>0</v>
      </c>
      <c r="N26" s="26">
        <f ca="1">IFERROR(VLOOKUP(#REF!,INDIRECT("'[Dữ liệu gốc (N-X-T).xls]"&amp;TEXT(#REF!,"00")&amp;"'!$B$7:$V$257"),14,0),0)</f>
        <v>0</v>
      </c>
      <c r="O26" s="27"/>
      <c r="P26" s="26">
        <f ca="1">IFERROR(VLOOKUP(#REF!,INDIRECT("'[Dữ liệu gốc (N-X-T).xls]"&amp;TEXT(#REF!,"00")&amp;"'!$B$7:$V$257"),16,0),0)</f>
        <v>0</v>
      </c>
      <c r="Q26" s="27"/>
      <c r="R26" s="30">
        <f t="shared" ca="1" si="5"/>
        <v>0</v>
      </c>
      <c r="S26" s="27">
        <f t="shared" ca="1" si="6"/>
        <v>0</v>
      </c>
      <c r="T26" s="64" t="s">
        <v>36</v>
      </c>
      <c r="U26" s="65"/>
    </row>
    <row r="27" spans="1:21" ht="15.6" x14ac:dyDescent="0.3">
      <c r="A27" s="22">
        <v>21</v>
      </c>
      <c r="B27" s="23">
        <f>IFERROR(VLOOKUP(#REF!,'[1]01'!$B$7:$V$257,2,0),0)</f>
        <v>0</v>
      </c>
      <c r="C27" s="24">
        <f>IFERROR(VLOOKUP(#REF!,'[1]01'!$B$7:$V$257,3,0),0)</f>
        <v>0</v>
      </c>
      <c r="D27" s="25">
        <f>IFERROR(VLOOKUP(#REF!,'[1]01'!$B$7:$V$257,4,0),0)</f>
        <v>0</v>
      </c>
      <c r="E27" s="26">
        <f>IFERROR(VLOOKUP(#REF!,'[1]01'!$B$7:$V$257,5,0),0)</f>
        <v>0</v>
      </c>
      <c r="F27" s="27">
        <f t="shared" si="3"/>
        <v>0</v>
      </c>
      <c r="G27" s="26">
        <f ca="1">IFERROR(VLOOKUP(#REF!,INDIRECT("'[Dữ liệu gốc (N-X-T).xls]"&amp;TEXT(#REF!,"00")&amp;"'!$B$7:$V$257"),7,0),0)</f>
        <v>0</v>
      </c>
      <c r="H27" s="25">
        <f ca="1">IFERROR(VLOOKUP(#REF!,INDIRECT("'[Dữ liệu gốc (N-X-T).xls]"&amp;TEXT(#REF!,"00")&amp;"'!$B$7:$V$257"),8,0),0)</f>
        <v>0</v>
      </c>
      <c r="I27" s="26">
        <f ca="1">IFERROR(VLOOKUP(#REF!,INDIRECT("'[Dữ liệu gốc (N-X-T).xls]"&amp;TEXT(#REF!,"00")&amp;"'!$B$7:$V$257"),9,0),0)</f>
        <v>0</v>
      </c>
      <c r="J27" s="26">
        <f ca="1">IFERROR(VLOOKUP(#REF!,INDIRECT("'[Dữ liệu gốc (N-X-T).xls]"&amp;TEXT(#REF!,"00")&amp;"'!$B$7:$V$257"),10,0),0)</f>
        <v>0</v>
      </c>
      <c r="K27" s="28">
        <f t="shared" ca="1" si="0"/>
        <v>0</v>
      </c>
      <c r="L27" s="29">
        <f ca="1">IFERROR(VLOOKUP(#REF!,INDIRECT("'[Dữ liệu gốc (N-X-T).xls]"&amp;TEXT(#REF!,"00")&amp;"'!$B$7:$V$257"),12,0),0)</f>
        <v>0</v>
      </c>
      <c r="M27" s="28">
        <f t="shared" ca="1" si="1"/>
        <v>0</v>
      </c>
      <c r="N27" s="26">
        <f ca="1">IFERROR(VLOOKUP(#REF!,INDIRECT("'[Dữ liệu gốc (N-X-T).xls]"&amp;TEXT(#REF!,"00")&amp;"'!$B$7:$V$257"),14,0),0)</f>
        <v>0</v>
      </c>
      <c r="O27" s="27">
        <f t="shared" ca="1" si="2"/>
        <v>0</v>
      </c>
      <c r="P27" s="26">
        <f ca="1">IFERROR(VLOOKUP(#REF!,INDIRECT("'[Dữ liệu gốc (N-X-T).xls]"&amp;TEXT(#REF!,"00")&amp;"'!$B$7:$V$257"),16,0),0)</f>
        <v>0</v>
      </c>
      <c r="Q27" s="27">
        <f t="shared" ca="1" si="4"/>
        <v>0</v>
      </c>
      <c r="R27" s="30">
        <f t="shared" ca="1" si="5"/>
        <v>0</v>
      </c>
      <c r="S27" s="27">
        <f t="shared" ca="1" si="6"/>
        <v>0</v>
      </c>
      <c r="T27" s="68" t="s">
        <v>37</v>
      </c>
      <c r="U27" s="69"/>
    </row>
    <row r="28" spans="1:21" ht="15.6" x14ac:dyDescent="0.3">
      <c r="A28" s="22">
        <v>22</v>
      </c>
      <c r="B28" s="23">
        <f>IFERROR(VLOOKUP(#REF!,'[1]01'!$B$7:$V$257,2,0),0)</f>
        <v>0</v>
      </c>
      <c r="C28" s="24">
        <f>IFERROR(VLOOKUP(#REF!,'[1]01'!$B$7:$V$257,3,0),0)</f>
        <v>0</v>
      </c>
      <c r="D28" s="25">
        <f>IFERROR(VLOOKUP(#REF!,'[1]01'!$B$7:$V$257,4,0),0)</f>
        <v>0</v>
      </c>
      <c r="E28" s="26">
        <f>IFERROR(VLOOKUP(#REF!,'[1]01'!$B$7:$V$257,5,0),0)</f>
        <v>0</v>
      </c>
      <c r="F28" s="27">
        <f t="shared" si="3"/>
        <v>0</v>
      </c>
      <c r="G28" s="26">
        <f ca="1">IFERROR(VLOOKUP(#REF!,INDIRECT("'[Dữ liệu gốc (N-X-T).xls]"&amp;TEXT(#REF!,"00")&amp;"'!$B$7:$V$257"),7,0),0)</f>
        <v>0</v>
      </c>
      <c r="H28" s="25">
        <f ca="1">IFERROR(VLOOKUP(#REF!,INDIRECT("'[Dữ liệu gốc (N-X-T).xls]"&amp;TEXT(#REF!,"00")&amp;"'!$B$7:$V$257"),8,0),0)</f>
        <v>0</v>
      </c>
      <c r="I28" s="26">
        <f ca="1">IFERROR(VLOOKUP(#REF!,INDIRECT("'[Dữ liệu gốc (N-X-T).xls]"&amp;TEXT(#REF!,"00")&amp;"'!$B$7:$V$257"),9,0),0)</f>
        <v>0</v>
      </c>
      <c r="J28" s="26">
        <f ca="1">IFERROR(VLOOKUP(#REF!,INDIRECT("'[Dữ liệu gốc (N-X-T).xls]"&amp;TEXT(#REF!,"00")&amp;"'!$B$7:$V$257"),10,0),0)</f>
        <v>0</v>
      </c>
      <c r="K28" s="28">
        <f t="shared" ca="1" si="0"/>
        <v>0</v>
      </c>
      <c r="L28" s="29">
        <f ca="1">IFERROR(VLOOKUP(#REF!,INDIRECT("'[Dữ liệu gốc (N-X-T).xls]"&amp;TEXT(#REF!,"00")&amp;"'!$B$7:$V$257"),12,0),0)</f>
        <v>0</v>
      </c>
      <c r="M28" s="28">
        <f t="shared" ca="1" si="1"/>
        <v>0</v>
      </c>
      <c r="N28" s="26">
        <f ca="1">IFERROR(VLOOKUP(#REF!,INDIRECT("'[Dữ liệu gốc (N-X-T).xls]"&amp;TEXT(#REF!,"00")&amp;"'!$B$7:$V$257"),14,0),0)</f>
        <v>0</v>
      </c>
      <c r="O28" s="27">
        <f t="shared" ca="1" si="2"/>
        <v>0</v>
      </c>
      <c r="P28" s="26">
        <f ca="1">IFERROR(VLOOKUP(#REF!,INDIRECT("'[Dữ liệu gốc (N-X-T).xls]"&amp;TEXT(#REF!,"00")&amp;"'!$B$7:$V$257"),16,0),0)</f>
        <v>0</v>
      </c>
      <c r="Q28" s="27">
        <f t="shared" ca="1" si="4"/>
        <v>0</v>
      </c>
      <c r="R28" s="30">
        <f t="shared" ca="1" si="5"/>
        <v>0</v>
      </c>
      <c r="S28" s="27">
        <f t="shared" ca="1" si="6"/>
        <v>0</v>
      </c>
      <c r="T28" s="60" t="s">
        <v>38</v>
      </c>
      <c r="U28" s="61"/>
    </row>
    <row r="29" spans="1:21" ht="15.6" customHeight="1" x14ac:dyDescent="0.3">
      <c r="A29" s="22">
        <v>23</v>
      </c>
      <c r="B29" s="23">
        <f>IFERROR(VLOOKUP(#REF!,'[1]01'!$B$7:$V$257,2,0),0)</f>
        <v>0</v>
      </c>
      <c r="C29" s="24">
        <f>IFERROR(VLOOKUP(#REF!,'[1]01'!$B$7:$V$257,3,0),0)</f>
        <v>0</v>
      </c>
      <c r="D29" s="25">
        <f>IFERROR(VLOOKUP(#REF!,'[1]01'!$B$7:$V$257,4,0),0)</f>
        <v>0</v>
      </c>
      <c r="E29" s="26">
        <f>IFERROR(VLOOKUP(#REF!,'[1]01'!$B$7:$V$257,5,0),0)</f>
        <v>0</v>
      </c>
      <c r="F29" s="27">
        <f t="shared" si="3"/>
        <v>0</v>
      </c>
      <c r="G29" s="26">
        <f ca="1">IFERROR(VLOOKUP(#REF!,INDIRECT("'[Dữ liệu gốc (N-X-T).xls]"&amp;TEXT(#REF!,"00")&amp;"'!$B$7:$V$257"),7,0),0)</f>
        <v>0</v>
      </c>
      <c r="H29" s="25">
        <f ca="1">IFERROR(VLOOKUP(#REF!,INDIRECT("'[Dữ liệu gốc (N-X-T).xls]"&amp;TEXT(#REF!,"00")&amp;"'!$B$7:$V$257"),8,0),0)</f>
        <v>0</v>
      </c>
      <c r="I29" s="26">
        <f ca="1">IFERROR(VLOOKUP(#REF!,INDIRECT("'[Dữ liệu gốc (N-X-T).xls]"&amp;TEXT(#REF!,"00")&amp;"'!$B$7:$V$257"),9,0),0)</f>
        <v>0</v>
      </c>
      <c r="J29" s="26">
        <f ca="1">IFERROR(VLOOKUP(#REF!,INDIRECT("'[Dữ liệu gốc (N-X-T).xls]"&amp;TEXT(#REF!,"00")&amp;"'!$B$7:$V$257"),10,0),0)</f>
        <v>0</v>
      </c>
      <c r="K29" s="28">
        <f t="shared" ca="1" si="0"/>
        <v>0</v>
      </c>
      <c r="L29" s="29">
        <f ca="1">IFERROR(VLOOKUP(#REF!,INDIRECT("'[Dữ liệu gốc (N-X-T).xls]"&amp;TEXT(#REF!,"00")&amp;"'!$B$7:$V$257"),12,0),0)</f>
        <v>0</v>
      </c>
      <c r="M29" s="28">
        <f t="shared" ca="1" si="1"/>
        <v>0</v>
      </c>
      <c r="N29" s="26">
        <f ca="1">IFERROR(VLOOKUP(#REF!,INDIRECT("'[Dữ liệu gốc (N-X-T).xls]"&amp;TEXT(#REF!,"00")&amp;"'!$B$7:$V$257"),14,0),0)</f>
        <v>0</v>
      </c>
      <c r="O29" s="27">
        <f t="shared" ca="1" si="2"/>
        <v>0</v>
      </c>
      <c r="P29" s="26">
        <f ca="1">IFERROR(VLOOKUP(#REF!,INDIRECT("'[Dữ liệu gốc (N-X-T).xls]"&amp;TEXT(#REF!,"00")&amp;"'!$B$7:$V$257"),16,0),0)</f>
        <v>0</v>
      </c>
      <c r="Q29" s="27">
        <f t="shared" ca="1" si="4"/>
        <v>0</v>
      </c>
      <c r="R29" s="30">
        <f t="shared" ca="1" si="5"/>
        <v>0</v>
      </c>
      <c r="S29" s="27">
        <f t="shared" ca="1" si="6"/>
        <v>0</v>
      </c>
      <c r="T29" s="64" t="s">
        <v>39</v>
      </c>
      <c r="U29" s="65"/>
    </row>
    <row r="30" spans="1:21" ht="15.6" customHeight="1" x14ac:dyDescent="0.3">
      <c r="A30" s="22">
        <v>24</v>
      </c>
      <c r="B30" s="23">
        <f>IFERROR(VLOOKUP(#REF!,'[1]01'!$B$7:$V$257,2,0),0)</f>
        <v>0</v>
      </c>
      <c r="C30" s="24">
        <f>IFERROR(VLOOKUP(#REF!,'[1]01'!$B$7:$V$257,3,0),0)</f>
        <v>0</v>
      </c>
      <c r="D30" s="25">
        <f>IFERROR(VLOOKUP(#REF!,'[1]01'!$B$7:$V$257,4,0),0)</f>
        <v>0</v>
      </c>
      <c r="E30" s="26">
        <f>IFERROR(VLOOKUP(#REF!,'[1]01'!$B$7:$V$257,5,0),0)</f>
        <v>0</v>
      </c>
      <c r="F30" s="27">
        <f t="shared" si="3"/>
        <v>0</v>
      </c>
      <c r="G30" s="26">
        <f ca="1">IFERROR(VLOOKUP(#REF!,INDIRECT("'[Dữ liệu gốc (N-X-T).xls]"&amp;TEXT(#REF!,"00")&amp;"'!$B$7:$V$257"),7,0),0)</f>
        <v>0</v>
      </c>
      <c r="H30" s="25">
        <f ca="1">IFERROR(VLOOKUP(#REF!,INDIRECT("'[Dữ liệu gốc (N-X-T).xls]"&amp;TEXT(#REF!,"00")&amp;"'!$B$7:$V$257"),8,0),0)</f>
        <v>0</v>
      </c>
      <c r="I30" s="26">
        <f ca="1">IFERROR(VLOOKUP(#REF!,INDIRECT("'[Dữ liệu gốc (N-X-T).xls]"&amp;TEXT(#REF!,"00")&amp;"'!$B$7:$V$257"),9,0),0)</f>
        <v>0</v>
      </c>
      <c r="J30" s="26">
        <f ca="1">IFERROR(VLOOKUP(#REF!,INDIRECT("'[Dữ liệu gốc (N-X-T).xls]"&amp;TEXT(#REF!,"00")&amp;"'!$B$7:$V$257"),10,0),0)</f>
        <v>0</v>
      </c>
      <c r="K30" s="28">
        <f t="shared" ca="1" si="0"/>
        <v>0</v>
      </c>
      <c r="L30" s="29">
        <f ca="1">IFERROR(VLOOKUP(#REF!,INDIRECT("'[Dữ liệu gốc (N-X-T).xls]"&amp;TEXT(#REF!,"00")&amp;"'!$B$7:$V$257"),12,0),0)</f>
        <v>0</v>
      </c>
      <c r="M30" s="28">
        <f t="shared" ca="1" si="1"/>
        <v>0</v>
      </c>
      <c r="N30" s="26">
        <f ca="1">IFERROR(VLOOKUP(#REF!,INDIRECT("'[Dữ liệu gốc (N-X-T).xls]"&amp;TEXT(#REF!,"00")&amp;"'!$B$7:$V$257"),14,0),0)</f>
        <v>0</v>
      </c>
      <c r="O30" s="27">
        <f t="shared" ca="1" si="2"/>
        <v>0</v>
      </c>
      <c r="P30" s="26">
        <f ca="1">IFERROR(VLOOKUP(#REF!,INDIRECT("'[Dữ liệu gốc (N-X-T).xls]"&amp;TEXT(#REF!,"00")&amp;"'!$B$7:$V$257"),16,0),0)</f>
        <v>0</v>
      </c>
      <c r="Q30" s="27">
        <f t="shared" ca="1" si="4"/>
        <v>0</v>
      </c>
      <c r="R30" s="30">
        <f t="shared" ca="1" si="5"/>
        <v>0</v>
      </c>
      <c r="S30" s="27">
        <f t="shared" ca="1" si="6"/>
        <v>0</v>
      </c>
      <c r="T30" s="70" t="s">
        <v>40</v>
      </c>
      <c r="U30" s="71"/>
    </row>
    <row r="31" spans="1:21" ht="15.6" x14ac:dyDescent="0.3">
      <c r="A31" s="22">
        <v>25</v>
      </c>
      <c r="B31" s="23">
        <f>IFERROR(VLOOKUP(#REF!,'[1]01'!$B$7:$V$257,2,0),0)</f>
        <v>0</v>
      </c>
      <c r="C31" s="24">
        <f>IFERROR(VLOOKUP(#REF!,'[1]01'!$B$7:$V$257,3,0),0)</f>
        <v>0</v>
      </c>
      <c r="D31" s="25">
        <f>IFERROR(VLOOKUP(#REF!,'[1]01'!$B$7:$V$257,4,0),0)</f>
        <v>0</v>
      </c>
      <c r="E31" s="26">
        <f>IFERROR(VLOOKUP(#REF!,'[1]01'!$B$7:$V$257,5,0),0)</f>
        <v>0</v>
      </c>
      <c r="F31" s="27">
        <f t="shared" si="3"/>
        <v>0</v>
      </c>
      <c r="G31" s="26">
        <f ca="1">IFERROR(VLOOKUP(#REF!,INDIRECT("'[Dữ liệu gốc (N-X-T).xls]"&amp;TEXT(#REF!,"00")&amp;"'!$B$7:$V$257"),7,0),0)</f>
        <v>0</v>
      </c>
      <c r="H31" s="25">
        <f ca="1">IFERROR(VLOOKUP(#REF!,INDIRECT("'[Dữ liệu gốc (N-X-T).xls]"&amp;TEXT(#REF!,"00")&amp;"'!$B$7:$V$257"),8,0),0)</f>
        <v>0</v>
      </c>
      <c r="I31" s="26">
        <f ca="1">IFERROR(VLOOKUP(#REF!,INDIRECT("'[Dữ liệu gốc (N-X-T).xls]"&amp;TEXT(#REF!,"00")&amp;"'!$B$7:$V$257"),9,0),0)</f>
        <v>0</v>
      </c>
      <c r="J31" s="26">
        <f ca="1">IFERROR(VLOOKUP(#REF!,INDIRECT("'[Dữ liệu gốc (N-X-T).xls]"&amp;TEXT(#REF!,"00")&amp;"'!$B$7:$V$257"),10,0),0)</f>
        <v>0</v>
      </c>
      <c r="K31" s="28">
        <f t="shared" ca="1" si="0"/>
        <v>0</v>
      </c>
      <c r="L31" s="29">
        <f ca="1">IFERROR(VLOOKUP(#REF!,INDIRECT("'[Dữ liệu gốc (N-X-T).xls]"&amp;TEXT(#REF!,"00")&amp;"'!$B$7:$V$257"),12,0),0)</f>
        <v>0</v>
      </c>
      <c r="M31" s="28">
        <f t="shared" ca="1" si="1"/>
        <v>0</v>
      </c>
      <c r="N31" s="26">
        <f ca="1">IFERROR(VLOOKUP(#REF!,INDIRECT("'[Dữ liệu gốc (N-X-T).xls]"&amp;TEXT(#REF!,"00")&amp;"'!$B$7:$V$257"),14,0),0)</f>
        <v>0</v>
      </c>
      <c r="O31" s="27">
        <f t="shared" ca="1" si="2"/>
        <v>0</v>
      </c>
      <c r="P31" s="26">
        <f ca="1">IFERROR(VLOOKUP(#REF!,INDIRECT("'[Dữ liệu gốc (N-X-T).xls]"&amp;TEXT(#REF!,"00")&amp;"'!$B$7:$V$257"),16,0),0)</f>
        <v>0</v>
      </c>
      <c r="Q31" s="27">
        <f t="shared" ca="1" si="4"/>
        <v>0</v>
      </c>
      <c r="R31" s="30">
        <f t="shared" ca="1" si="5"/>
        <v>0</v>
      </c>
      <c r="S31" s="27">
        <f t="shared" ca="1" si="6"/>
        <v>0</v>
      </c>
      <c r="T31" s="68" t="s">
        <v>41</v>
      </c>
      <c r="U31" s="69"/>
    </row>
    <row r="32" spans="1:21" ht="15.6" x14ac:dyDescent="0.3">
      <c r="A32" s="22">
        <v>26</v>
      </c>
      <c r="B32" s="23">
        <f>IFERROR(VLOOKUP(#REF!,'[1]01'!$B$7:$V$257,2,0),0)</f>
        <v>0</v>
      </c>
      <c r="C32" s="24">
        <f>IFERROR(VLOOKUP(#REF!,'[1]01'!$B$7:$V$257,3,0),0)</f>
        <v>0</v>
      </c>
      <c r="D32" s="25">
        <f>IFERROR(VLOOKUP(#REF!,'[1]01'!$B$7:$V$257,4,0),0)</f>
        <v>0</v>
      </c>
      <c r="E32" s="26">
        <f>IFERROR(VLOOKUP(#REF!,'[1]01'!$B$7:$V$257,5,0),0)</f>
        <v>0</v>
      </c>
      <c r="F32" s="27">
        <f t="shared" si="3"/>
        <v>0</v>
      </c>
      <c r="G32" s="26">
        <f ca="1">IFERROR(VLOOKUP(#REF!,INDIRECT("'[Dữ liệu gốc (N-X-T).xls]"&amp;TEXT(#REF!,"00")&amp;"'!$B$7:$V$257"),7,0),0)</f>
        <v>0</v>
      </c>
      <c r="H32" s="25">
        <f ca="1">IFERROR(VLOOKUP(#REF!,INDIRECT("'[Dữ liệu gốc (N-X-T).xls]"&amp;TEXT(#REF!,"00")&amp;"'!$B$7:$V$257"),8,0),0)</f>
        <v>0</v>
      </c>
      <c r="I32" s="26">
        <f ca="1">IFERROR(VLOOKUP(#REF!,INDIRECT("'[Dữ liệu gốc (N-X-T).xls]"&amp;TEXT(#REF!,"00")&amp;"'!$B$7:$V$257"),9,0),0)</f>
        <v>0</v>
      </c>
      <c r="J32" s="26">
        <f ca="1">IFERROR(VLOOKUP(#REF!,INDIRECT("'[Dữ liệu gốc (N-X-T).xls]"&amp;TEXT(#REF!,"00")&amp;"'!$B$7:$V$257"),10,0),0)</f>
        <v>0</v>
      </c>
      <c r="K32" s="28">
        <f t="shared" ca="1" si="0"/>
        <v>0</v>
      </c>
      <c r="L32" s="29">
        <f ca="1">IFERROR(VLOOKUP(#REF!,INDIRECT("'[Dữ liệu gốc (N-X-T).xls]"&amp;TEXT(#REF!,"00")&amp;"'!$B$7:$V$257"),12,0),0)</f>
        <v>0</v>
      </c>
      <c r="M32" s="28">
        <f t="shared" ca="1" si="1"/>
        <v>0</v>
      </c>
      <c r="N32" s="26">
        <f ca="1">IFERROR(VLOOKUP(#REF!,INDIRECT("'[Dữ liệu gốc (N-X-T).xls]"&amp;TEXT(#REF!,"00")&amp;"'!$B$7:$V$257"),14,0),0)</f>
        <v>0</v>
      </c>
      <c r="O32" s="27">
        <f t="shared" ca="1" si="2"/>
        <v>0</v>
      </c>
      <c r="P32" s="26">
        <f ca="1">IFERROR(VLOOKUP(#REF!,INDIRECT("'[Dữ liệu gốc (N-X-T).xls]"&amp;TEXT(#REF!,"00")&amp;"'!$B$7:$V$257"),16,0),0)</f>
        <v>0</v>
      </c>
      <c r="Q32" s="27">
        <f t="shared" ca="1" si="4"/>
        <v>0</v>
      </c>
      <c r="R32" s="30">
        <f t="shared" ca="1" si="5"/>
        <v>0</v>
      </c>
      <c r="S32" s="27">
        <f t="shared" ca="1" si="6"/>
        <v>0</v>
      </c>
      <c r="T32" s="60" t="s">
        <v>42</v>
      </c>
      <c r="U32" s="61"/>
    </row>
    <row r="33" spans="1:21" ht="15.6" customHeight="1" x14ac:dyDescent="0.3">
      <c r="A33" s="22">
        <v>27</v>
      </c>
      <c r="B33" s="23">
        <f>IFERROR(VLOOKUP(#REF!,'[1]01'!$B$7:$V$257,2,0),0)</f>
        <v>0</v>
      </c>
      <c r="C33" s="24">
        <f>IFERROR(VLOOKUP(#REF!,'[1]01'!$B$7:$V$257,3,0),0)</f>
        <v>0</v>
      </c>
      <c r="D33" s="25">
        <f>IFERROR(VLOOKUP(#REF!,'[1]01'!$B$7:$V$257,4,0),0)</f>
        <v>0</v>
      </c>
      <c r="E33" s="26">
        <f>IFERROR(VLOOKUP(#REF!,'[1]01'!$B$7:$V$257,5,0),0)</f>
        <v>0</v>
      </c>
      <c r="F33" s="27">
        <f t="shared" si="3"/>
        <v>0</v>
      </c>
      <c r="G33" s="26">
        <f ca="1">IFERROR(VLOOKUP(#REF!,INDIRECT("'[Dữ liệu gốc (N-X-T).xls]"&amp;TEXT(#REF!,"00")&amp;"'!$B$7:$V$257"),7,0),0)</f>
        <v>0</v>
      </c>
      <c r="H33" s="25">
        <f ca="1">IFERROR(VLOOKUP(#REF!,INDIRECT("'[Dữ liệu gốc (N-X-T).xls]"&amp;TEXT(#REF!,"00")&amp;"'!$B$7:$V$257"),8,0),0)</f>
        <v>0</v>
      </c>
      <c r="I33" s="26">
        <f ca="1">IFERROR(VLOOKUP(#REF!,INDIRECT("'[Dữ liệu gốc (N-X-T).xls]"&amp;TEXT(#REF!,"00")&amp;"'!$B$7:$V$257"),9,0),0)</f>
        <v>0</v>
      </c>
      <c r="J33" s="26">
        <f ca="1">IFERROR(VLOOKUP(#REF!,INDIRECT("'[Dữ liệu gốc (N-X-T).xls]"&amp;TEXT(#REF!,"00")&amp;"'!$B$7:$V$257"),10,0),0)</f>
        <v>0</v>
      </c>
      <c r="K33" s="28">
        <f t="shared" ca="1" si="0"/>
        <v>0</v>
      </c>
      <c r="L33" s="29">
        <f ca="1">IFERROR(VLOOKUP(#REF!,INDIRECT("'[Dữ liệu gốc (N-X-T).xls]"&amp;TEXT(#REF!,"00")&amp;"'!$B$7:$V$257"),12,0),0)</f>
        <v>0</v>
      </c>
      <c r="M33" s="28">
        <f t="shared" ca="1" si="1"/>
        <v>0</v>
      </c>
      <c r="N33" s="26">
        <f ca="1">IFERROR(VLOOKUP(#REF!,INDIRECT("'[Dữ liệu gốc (N-X-T).xls]"&amp;TEXT(#REF!,"00")&amp;"'!$B$7:$V$257"),14,0),0)</f>
        <v>0</v>
      </c>
      <c r="O33" s="27">
        <f t="shared" ca="1" si="2"/>
        <v>0</v>
      </c>
      <c r="P33" s="26">
        <f ca="1">IFERROR(VLOOKUP(#REF!,INDIRECT("'[Dữ liệu gốc (N-X-T).xls]"&amp;TEXT(#REF!,"00")&amp;"'!$B$7:$V$257"),16,0),0)</f>
        <v>0</v>
      </c>
      <c r="Q33" s="27">
        <f t="shared" ca="1" si="4"/>
        <v>0</v>
      </c>
      <c r="R33" s="30">
        <f t="shared" ca="1" si="5"/>
        <v>0</v>
      </c>
      <c r="S33" s="27">
        <f t="shared" ca="1" si="6"/>
        <v>0</v>
      </c>
      <c r="T33" s="62" t="s">
        <v>43</v>
      </c>
      <c r="U33" s="63"/>
    </row>
    <row r="34" spans="1:21" ht="15.6" customHeight="1" x14ac:dyDescent="0.3">
      <c r="A34" s="22">
        <v>28</v>
      </c>
      <c r="B34" s="23">
        <f>IFERROR(VLOOKUP(#REF!,'[1]01'!$B$7:$V$257,2,0),0)</f>
        <v>0</v>
      </c>
      <c r="C34" s="24">
        <f>IFERROR(VLOOKUP(#REF!,'[1]01'!$B$7:$V$257,3,0),0)</f>
        <v>0</v>
      </c>
      <c r="D34" s="25">
        <f>IFERROR(VLOOKUP(#REF!,'[1]01'!$B$7:$V$257,4,0),0)</f>
        <v>0</v>
      </c>
      <c r="E34" s="26">
        <f>IFERROR(VLOOKUP(#REF!,'[1]01'!$B$7:$V$257,5,0),0)</f>
        <v>0</v>
      </c>
      <c r="F34" s="27">
        <f t="shared" si="3"/>
        <v>0</v>
      </c>
      <c r="G34" s="26">
        <f ca="1">IFERROR(VLOOKUP(#REF!,INDIRECT("'[Dữ liệu gốc (N-X-T).xls]"&amp;TEXT(#REF!,"00")&amp;"'!$B$7:$V$257"),7,0),0)</f>
        <v>0</v>
      </c>
      <c r="H34" s="25">
        <f ca="1">IFERROR(VLOOKUP(#REF!,INDIRECT("'[Dữ liệu gốc (N-X-T).xls]"&amp;TEXT(#REF!,"00")&amp;"'!$B$7:$V$257"),8,0),0)</f>
        <v>0</v>
      </c>
      <c r="I34" s="26">
        <f ca="1">IFERROR(VLOOKUP(#REF!,INDIRECT("'[Dữ liệu gốc (N-X-T).xls]"&amp;TEXT(#REF!,"00")&amp;"'!$B$7:$V$257"),9,0),0)</f>
        <v>0</v>
      </c>
      <c r="J34" s="26">
        <f ca="1">IFERROR(VLOOKUP(#REF!,INDIRECT("'[Dữ liệu gốc (N-X-T).xls]"&amp;TEXT(#REF!,"00")&amp;"'!$B$7:$V$257"),10,0),0)</f>
        <v>0</v>
      </c>
      <c r="K34" s="28">
        <f t="shared" ca="1" si="0"/>
        <v>0</v>
      </c>
      <c r="L34" s="29">
        <f ca="1">IFERROR(VLOOKUP(#REF!,INDIRECT("'[Dữ liệu gốc (N-X-T).xls]"&amp;TEXT(#REF!,"00")&amp;"'!$B$7:$V$257"),12,0),0)</f>
        <v>0</v>
      </c>
      <c r="M34" s="28">
        <f t="shared" ca="1" si="1"/>
        <v>0</v>
      </c>
      <c r="N34" s="26">
        <f ca="1">IFERROR(VLOOKUP(#REF!,INDIRECT("'[Dữ liệu gốc (N-X-T).xls]"&amp;TEXT(#REF!,"00")&amp;"'!$B$7:$V$257"),14,0),0)</f>
        <v>0</v>
      </c>
      <c r="O34" s="27">
        <f t="shared" ca="1" si="2"/>
        <v>0</v>
      </c>
      <c r="P34" s="26">
        <f ca="1">IFERROR(VLOOKUP(#REF!,INDIRECT("'[Dữ liệu gốc (N-X-T).xls]"&amp;TEXT(#REF!,"00")&amp;"'!$B$7:$V$257"),16,0),0)</f>
        <v>0</v>
      </c>
      <c r="Q34" s="27">
        <f t="shared" ca="1" si="4"/>
        <v>0</v>
      </c>
      <c r="R34" s="30">
        <f t="shared" ca="1" si="5"/>
        <v>0</v>
      </c>
      <c r="S34" s="27">
        <f t="shared" ca="1" si="6"/>
        <v>0</v>
      </c>
      <c r="T34" s="64" t="s">
        <v>44</v>
      </c>
      <c r="U34" s="65"/>
    </row>
    <row r="35" spans="1:21" ht="15.6" x14ac:dyDescent="0.3">
      <c r="A35" s="22">
        <v>29</v>
      </c>
      <c r="B35" s="23">
        <f>IFERROR(VLOOKUP(#REF!,'[1]01'!$B$7:$V$257,2,0),0)</f>
        <v>0</v>
      </c>
      <c r="C35" s="24">
        <f>IFERROR(VLOOKUP(#REF!,'[1]01'!$B$7:$V$257,3,0),0)</f>
        <v>0</v>
      </c>
      <c r="D35" s="25">
        <f>IFERROR(VLOOKUP(#REF!,'[1]01'!$B$7:$V$257,4,0),0)</f>
        <v>0</v>
      </c>
      <c r="E35" s="26">
        <f>IFERROR(VLOOKUP(#REF!,'[1]01'!$B$7:$V$257,5,0),0)</f>
        <v>0</v>
      </c>
      <c r="F35" s="27">
        <f t="shared" si="3"/>
        <v>0</v>
      </c>
      <c r="G35" s="26">
        <f ca="1">IFERROR(VLOOKUP(#REF!,INDIRECT("'[Dữ liệu gốc (N-X-T).xls]"&amp;TEXT(#REF!,"00")&amp;"'!$B$7:$V$257"),7,0),0)</f>
        <v>0</v>
      </c>
      <c r="H35" s="25">
        <f ca="1">IFERROR(VLOOKUP(#REF!,INDIRECT("'[Dữ liệu gốc (N-X-T).xls]"&amp;TEXT(#REF!,"00")&amp;"'!$B$7:$V$257"),8,0),0)</f>
        <v>0</v>
      </c>
      <c r="I35" s="26">
        <f ca="1">IFERROR(VLOOKUP(#REF!,INDIRECT("'[Dữ liệu gốc (N-X-T).xls]"&amp;TEXT(#REF!,"00")&amp;"'!$B$7:$V$257"),9,0),0)</f>
        <v>0</v>
      </c>
      <c r="J35" s="26">
        <f ca="1">IFERROR(VLOOKUP(#REF!,INDIRECT("'[Dữ liệu gốc (N-X-T).xls]"&amp;TEXT(#REF!,"00")&amp;"'!$B$7:$V$257"),10,0),0)</f>
        <v>0</v>
      </c>
      <c r="K35" s="28">
        <f t="shared" ca="1" si="0"/>
        <v>0</v>
      </c>
      <c r="L35" s="29">
        <f ca="1">IFERROR(VLOOKUP(#REF!,INDIRECT("'[Dữ liệu gốc (N-X-T).xls]"&amp;TEXT(#REF!,"00")&amp;"'!$B$7:$V$257"),12,0),0)</f>
        <v>0</v>
      </c>
      <c r="M35" s="28">
        <f t="shared" ca="1" si="1"/>
        <v>0</v>
      </c>
      <c r="N35" s="26">
        <f ca="1">IFERROR(VLOOKUP(#REF!,INDIRECT("'[Dữ liệu gốc (N-X-T).xls]"&amp;TEXT(#REF!,"00")&amp;"'!$B$7:$V$257"),14,0),0)</f>
        <v>0</v>
      </c>
      <c r="O35" s="27">
        <f t="shared" ca="1" si="2"/>
        <v>0</v>
      </c>
      <c r="P35" s="26">
        <f ca="1">IFERROR(VLOOKUP(#REF!,INDIRECT("'[Dữ liệu gốc (N-X-T).xls]"&amp;TEXT(#REF!,"00")&amp;"'!$B$7:$V$257"),16,0),0)</f>
        <v>0</v>
      </c>
      <c r="Q35" s="27">
        <f t="shared" ca="1" si="4"/>
        <v>0</v>
      </c>
      <c r="R35" s="30">
        <f t="shared" ca="1" si="5"/>
        <v>0</v>
      </c>
      <c r="S35" s="27">
        <f t="shared" ca="1" si="6"/>
        <v>0</v>
      </c>
      <c r="T35" s="36"/>
      <c r="U35" s="37"/>
    </row>
    <row r="36" spans="1:21" ht="15.6" x14ac:dyDescent="0.3">
      <c r="A36" s="22">
        <v>30</v>
      </c>
      <c r="B36" s="23">
        <f>IFERROR(VLOOKUP(#REF!,'[1]01'!$B$7:$V$257,2,0),0)</f>
        <v>0</v>
      </c>
      <c r="C36" s="24">
        <f>IFERROR(VLOOKUP(#REF!,'[1]01'!$B$7:$V$257,3,0),0)</f>
        <v>0</v>
      </c>
      <c r="D36" s="25">
        <f>IFERROR(VLOOKUP(#REF!,'[1]01'!$B$7:$V$257,4,0),0)</f>
        <v>0</v>
      </c>
      <c r="E36" s="26">
        <f>IFERROR(VLOOKUP(#REF!,'[1]01'!$B$7:$V$257,5,0),0)</f>
        <v>0</v>
      </c>
      <c r="F36" s="27">
        <f t="shared" si="3"/>
        <v>0</v>
      </c>
      <c r="G36" s="26">
        <f ca="1">IFERROR(VLOOKUP(#REF!,INDIRECT("'[Dữ liệu gốc (N-X-T).xls]"&amp;TEXT(#REF!,"00")&amp;"'!$B$7:$V$257"),7,0),0)</f>
        <v>0</v>
      </c>
      <c r="H36" s="25">
        <f ca="1">IFERROR(VLOOKUP(#REF!,INDIRECT("'[Dữ liệu gốc (N-X-T).xls]"&amp;TEXT(#REF!,"00")&amp;"'!$B$7:$V$257"),8,0),0)</f>
        <v>0</v>
      </c>
      <c r="I36" s="26">
        <f ca="1">IFERROR(VLOOKUP(#REF!,INDIRECT("'[Dữ liệu gốc (N-X-T).xls]"&amp;TEXT(#REF!,"00")&amp;"'!$B$7:$V$257"),9,0),0)</f>
        <v>0</v>
      </c>
      <c r="J36" s="26">
        <f ca="1">IFERROR(VLOOKUP(#REF!,INDIRECT("'[Dữ liệu gốc (N-X-T).xls]"&amp;TEXT(#REF!,"00")&amp;"'!$B$7:$V$257"),10,0),0)</f>
        <v>0</v>
      </c>
      <c r="K36" s="28">
        <f t="shared" ca="1" si="0"/>
        <v>0</v>
      </c>
      <c r="L36" s="29">
        <f ca="1">IFERROR(VLOOKUP(#REF!,INDIRECT("'[Dữ liệu gốc (N-X-T).xls]"&amp;TEXT(#REF!,"00")&amp;"'!$B$7:$V$257"),12,0),0)</f>
        <v>0</v>
      </c>
      <c r="M36" s="28">
        <f t="shared" ca="1" si="1"/>
        <v>0</v>
      </c>
      <c r="N36" s="26">
        <f ca="1">IFERROR(VLOOKUP(#REF!,INDIRECT("'[Dữ liệu gốc (N-X-T).xls]"&amp;TEXT(#REF!,"00")&amp;"'!$B$7:$V$257"),14,0),0)</f>
        <v>0</v>
      </c>
      <c r="O36" s="27">
        <f t="shared" ca="1" si="2"/>
        <v>0</v>
      </c>
      <c r="P36" s="26">
        <f ca="1">IFERROR(VLOOKUP(#REF!,INDIRECT("'[Dữ liệu gốc (N-X-T).xls]"&amp;TEXT(#REF!,"00")&amp;"'!$B$7:$V$257"),16,0),0)</f>
        <v>0</v>
      </c>
      <c r="Q36" s="27">
        <f t="shared" ca="1" si="4"/>
        <v>0</v>
      </c>
      <c r="R36" s="30">
        <f t="shared" ca="1" si="5"/>
        <v>0</v>
      </c>
      <c r="S36" s="27">
        <f t="shared" ca="1" si="6"/>
        <v>0</v>
      </c>
      <c r="T36" s="36"/>
      <c r="U36" s="37"/>
    </row>
    <row r="37" spans="1:21" ht="15.6" x14ac:dyDescent="0.3">
      <c r="A37" s="22">
        <v>31</v>
      </c>
      <c r="B37" s="23">
        <f>IFERROR(VLOOKUP(#REF!,'[1]01'!$B$7:$V$257,2,0),0)</f>
        <v>0</v>
      </c>
      <c r="C37" s="24">
        <f>IFERROR(VLOOKUP(#REF!,'[1]01'!$B$7:$V$257,3,0),0)</f>
        <v>0</v>
      </c>
      <c r="D37" s="25">
        <f>IFERROR(VLOOKUP(#REF!,'[1]01'!$B$7:$V$257,4,0),0)</f>
        <v>0</v>
      </c>
      <c r="E37" s="26">
        <f>IFERROR(VLOOKUP(#REF!,'[1]01'!$B$7:$V$257,5,0),0)</f>
        <v>0</v>
      </c>
      <c r="F37" s="27">
        <f t="shared" si="3"/>
        <v>0</v>
      </c>
      <c r="G37" s="26">
        <f ca="1">IFERROR(VLOOKUP(#REF!,INDIRECT("'[Dữ liệu gốc (N-X-T).xls]"&amp;TEXT(#REF!,"00")&amp;"'!$B$7:$V$257"),7,0),0)</f>
        <v>0</v>
      </c>
      <c r="H37" s="25">
        <f ca="1">IFERROR(VLOOKUP(#REF!,INDIRECT("'[Dữ liệu gốc (N-X-T).xls]"&amp;TEXT(#REF!,"00")&amp;"'!$B$7:$V$257"),8,0),0)</f>
        <v>0</v>
      </c>
      <c r="I37" s="26">
        <f ca="1">IFERROR(VLOOKUP(#REF!,INDIRECT("'[Dữ liệu gốc (N-X-T).xls]"&amp;TEXT(#REF!,"00")&amp;"'!$B$7:$V$257"),9,0),0)</f>
        <v>0</v>
      </c>
      <c r="J37" s="26">
        <f ca="1">IFERROR(VLOOKUP(#REF!,INDIRECT("'[Dữ liệu gốc (N-X-T).xls]"&amp;TEXT(#REF!,"00")&amp;"'!$B$7:$V$257"),10,0),0)</f>
        <v>0</v>
      </c>
      <c r="K37" s="28">
        <f t="shared" ca="1" si="0"/>
        <v>0</v>
      </c>
      <c r="L37" s="29">
        <f ca="1">IFERROR(VLOOKUP(#REF!,INDIRECT("'[Dữ liệu gốc (N-X-T).xls]"&amp;TEXT(#REF!,"00")&amp;"'!$B$7:$V$257"),12,0),0)</f>
        <v>0</v>
      </c>
      <c r="M37" s="28">
        <f t="shared" ca="1" si="1"/>
        <v>0</v>
      </c>
      <c r="N37" s="26">
        <f ca="1">IFERROR(VLOOKUP(#REF!,INDIRECT("'[Dữ liệu gốc (N-X-T).xls]"&amp;TEXT(#REF!,"00")&amp;"'!$B$7:$V$257"),14,0),0)</f>
        <v>0</v>
      </c>
      <c r="O37" s="27">
        <f t="shared" ca="1" si="2"/>
        <v>0</v>
      </c>
      <c r="P37" s="26">
        <f ca="1">IFERROR(VLOOKUP(#REF!,INDIRECT("'[Dữ liệu gốc (N-X-T).xls]"&amp;TEXT(#REF!,"00")&amp;"'!$B$7:$V$257"),16,0),0)</f>
        <v>0</v>
      </c>
      <c r="Q37" s="27">
        <f t="shared" ca="1" si="4"/>
        <v>0</v>
      </c>
      <c r="R37" s="30">
        <f t="shared" ca="1" si="5"/>
        <v>0</v>
      </c>
      <c r="S37" s="27">
        <f t="shared" ca="1" si="6"/>
        <v>0</v>
      </c>
      <c r="T37" s="36"/>
      <c r="U37" s="37"/>
    </row>
    <row r="38" spans="1:21" ht="15.6" x14ac:dyDescent="0.3">
      <c r="A38" s="22">
        <v>32</v>
      </c>
      <c r="B38" s="23">
        <f>IFERROR(VLOOKUP(#REF!,'[1]01'!$B$7:$V$257,2,0),0)</f>
        <v>0</v>
      </c>
      <c r="C38" s="24">
        <f>IFERROR(VLOOKUP(#REF!,'[1]01'!$B$7:$V$257,3,0),0)</f>
        <v>0</v>
      </c>
      <c r="D38" s="25">
        <f>IFERROR(VLOOKUP(#REF!,'[1]01'!$B$7:$V$257,4,0),0)</f>
        <v>0</v>
      </c>
      <c r="E38" s="26">
        <f>IFERROR(VLOOKUP(#REF!,'[1]01'!$B$7:$V$257,5,0),0)</f>
        <v>0</v>
      </c>
      <c r="F38" s="27">
        <f t="shared" si="3"/>
        <v>0</v>
      </c>
      <c r="G38" s="26">
        <f ca="1">IFERROR(VLOOKUP(#REF!,INDIRECT("'[Dữ liệu gốc (N-X-T).xls]"&amp;TEXT(#REF!,"00")&amp;"'!$B$7:$V$257"),7,0),0)</f>
        <v>0</v>
      </c>
      <c r="H38" s="25">
        <f ca="1">IFERROR(VLOOKUP(#REF!,INDIRECT("'[Dữ liệu gốc (N-X-T).xls]"&amp;TEXT(#REF!,"00")&amp;"'!$B$7:$V$257"),8,0),0)</f>
        <v>0</v>
      </c>
      <c r="I38" s="26">
        <f ca="1">IFERROR(VLOOKUP(#REF!,INDIRECT("'[Dữ liệu gốc (N-X-T).xls]"&amp;TEXT(#REF!,"00")&amp;"'!$B$7:$V$257"),9,0),0)</f>
        <v>0</v>
      </c>
      <c r="J38" s="26">
        <f ca="1">IFERROR(VLOOKUP(#REF!,INDIRECT("'[Dữ liệu gốc (N-X-T).xls]"&amp;TEXT(#REF!,"00")&amp;"'!$B$7:$V$257"),10,0),0)</f>
        <v>0</v>
      </c>
      <c r="K38" s="28">
        <f t="shared" ca="1" si="0"/>
        <v>0</v>
      </c>
      <c r="L38" s="29">
        <f ca="1">IFERROR(VLOOKUP(#REF!,INDIRECT("'[Dữ liệu gốc (N-X-T).xls]"&amp;TEXT(#REF!,"00")&amp;"'!$B$7:$V$257"),12,0),0)</f>
        <v>0</v>
      </c>
      <c r="M38" s="28">
        <f t="shared" ca="1" si="1"/>
        <v>0</v>
      </c>
      <c r="N38" s="26">
        <f ca="1">IFERROR(VLOOKUP(#REF!,INDIRECT("'[Dữ liệu gốc (N-X-T).xls]"&amp;TEXT(#REF!,"00")&amp;"'!$B$7:$V$257"),14,0),0)</f>
        <v>0</v>
      </c>
      <c r="O38" s="27">
        <f t="shared" ca="1" si="2"/>
        <v>0</v>
      </c>
      <c r="P38" s="26">
        <f ca="1">IFERROR(VLOOKUP(#REF!,INDIRECT("'[Dữ liệu gốc (N-X-T).xls]"&amp;TEXT(#REF!,"00")&amp;"'!$B$7:$V$257"),16,0),0)</f>
        <v>0</v>
      </c>
      <c r="Q38" s="27">
        <f t="shared" ca="1" si="4"/>
        <v>0</v>
      </c>
      <c r="R38" s="30">
        <f t="shared" ca="1" si="5"/>
        <v>0</v>
      </c>
      <c r="S38" s="27">
        <f t="shared" ca="1" si="6"/>
        <v>0</v>
      </c>
      <c r="T38" s="36"/>
      <c r="U38" s="37"/>
    </row>
    <row r="39" spans="1:21" ht="15.6" x14ac:dyDescent="0.3">
      <c r="A39" s="22">
        <v>33</v>
      </c>
      <c r="B39" s="23">
        <f>IFERROR(VLOOKUP(#REF!,'[1]01'!$B$7:$V$257,2,0),0)</f>
        <v>0</v>
      </c>
      <c r="C39" s="24">
        <f>IFERROR(VLOOKUP(#REF!,'[1]01'!$B$7:$V$257,3,0),0)</f>
        <v>0</v>
      </c>
      <c r="D39" s="25">
        <f>IFERROR(VLOOKUP(#REF!,'[1]01'!$B$7:$V$257,4,0),0)</f>
        <v>0</v>
      </c>
      <c r="E39" s="26">
        <f>IFERROR(VLOOKUP(#REF!,'[1]01'!$B$7:$V$257,5,0),0)</f>
        <v>0</v>
      </c>
      <c r="F39" s="27">
        <f t="shared" si="3"/>
        <v>0</v>
      </c>
      <c r="G39" s="26">
        <f ca="1">IFERROR(VLOOKUP(#REF!,INDIRECT("'[Dữ liệu gốc (N-X-T).xls]"&amp;TEXT(#REF!,"00")&amp;"'!$B$7:$V$257"),7,0),0)</f>
        <v>0</v>
      </c>
      <c r="H39" s="25">
        <f ca="1">IFERROR(VLOOKUP(#REF!,INDIRECT("'[Dữ liệu gốc (N-X-T).xls]"&amp;TEXT(#REF!,"00")&amp;"'!$B$7:$V$257"),8,0),0)</f>
        <v>0</v>
      </c>
      <c r="I39" s="26">
        <f ca="1">IFERROR(VLOOKUP(#REF!,INDIRECT("'[Dữ liệu gốc (N-X-T).xls]"&amp;TEXT(#REF!,"00")&amp;"'!$B$7:$V$257"),9,0),0)</f>
        <v>0</v>
      </c>
      <c r="J39" s="26">
        <f ca="1">IFERROR(VLOOKUP(#REF!,INDIRECT("'[Dữ liệu gốc (N-X-T).xls]"&amp;TEXT(#REF!,"00")&amp;"'!$B$7:$V$257"),10,0),0)</f>
        <v>0</v>
      </c>
      <c r="K39" s="28">
        <f t="shared" ca="1" si="0"/>
        <v>0</v>
      </c>
      <c r="L39" s="29">
        <f ca="1">IFERROR(VLOOKUP(#REF!,INDIRECT("'[Dữ liệu gốc (N-X-T).xls]"&amp;TEXT(#REF!,"00")&amp;"'!$B$7:$V$257"),12,0),0)</f>
        <v>0</v>
      </c>
      <c r="M39" s="28">
        <f t="shared" ca="1" si="1"/>
        <v>0</v>
      </c>
      <c r="N39" s="26">
        <f ca="1">IFERROR(VLOOKUP(#REF!,INDIRECT("'[Dữ liệu gốc (N-X-T).xls]"&amp;TEXT(#REF!,"00")&amp;"'!$B$7:$V$257"),14,0),0)</f>
        <v>0</v>
      </c>
      <c r="O39" s="27">
        <f t="shared" ca="1" si="2"/>
        <v>0</v>
      </c>
      <c r="P39" s="26">
        <f ca="1">IFERROR(VLOOKUP(#REF!,INDIRECT("'[Dữ liệu gốc (N-X-T).xls]"&amp;TEXT(#REF!,"00")&amp;"'!$B$7:$V$257"),16,0),0)</f>
        <v>0</v>
      </c>
      <c r="Q39" s="27">
        <f t="shared" ca="1" si="4"/>
        <v>0</v>
      </c>
      <c r="R39" s="30">
        <f t="shared" ca="1" si="5"/>
        <v>0</v>
      </c>
      <c r="S39" s="27">
        <f t="shared" ca="1" si="6"/>
        <v>0</v>
      </c>
      <c r="T39" s="36"/>
      <c r="U39" s="37"/>
    </row>
    <row r="40" spans="1:21" ht="15.6" x14ac:dyDescent="0.3">
      <c r="A40" s="22">
        <v>34</v>
      </c>
      <c r="B40" s="23">
        <f>IFERROR(VLOOKUP(#REF!,'[1]01'!$B$7:$V$257,2,0),0)</f>
        <v>0</v>
      </c>
      <c r="C40" s="24">
        <f>IFERROR(VLOOKUP(#REF!,'[1]01'!$B$7:$V$257,3,0),0)</f>
        <v>0</v>
      </c>
      <c r="D40" s="25">
        <f>IFERROR(VLOOKUP(#REF!,'[1]01'!$B$7:$V$257,4,0),0)</f>
        <v>0</v>
      </c>
      <c r="E40" s="26">
        <f>IFERROR(VLOOKUP(#REF!,'[1]01'!$B$7:$V$257,5,0),0)</f>
        <v>0</v>
      </c>
      <c r="F40" s="27">
        <f t="shared" si="3"/>
        <v>0</v>
      </c>
      <c r="G40" s="26">
        <f ca="1">IFERROR(VLOOKUP(#REF!,INDIRECT("'[Dữ liệu gốc (N-X-T).xls]"&amp;TEXT(#REF!,"00")&amp;"'!$B$7:$V$257"),7,0),0)</f>
        <v>0</v>
      </c>
      <c r="H40" s="25">
        <f ca="1">IFERROR(VLOOKUP(#REF!,INDIRECT("'[Dữ liệu gốc (N-X-T).xls]"&amp;TEXT(#REF!,"00")&amp;"'!$B$7:$V$257"),8,0),0)</f>
        <v>0</v>
      </c>
      <c r="I40" s="26">
        <f ca="1">IFERROR(VLOOKUP(#REF!,INDIRECT("'[Dữ liệu gốc (N-X-T).xls]"&amp;TEXT(#REF!,"00")&amp;"'!$B$7:$V$257"),9,0),0)</f>
        <v>0</v>
      </c>
      <c r="J40" s="26">
        <f ca="1">IFERROR(VLOOKUP(#REF!,INDIRECT("'[Dữ liệu gốc (N-X-T).xls]"&amp;TEXT(#REF!,"00")&amp;"'!$B$7:$V$257"),10,0),0)</f>
        <v>0</v>
      </c>
      <c r="K40" s="28">
        <f t="shared" ca="1" si="0"/>
        <v>0</v>
      </c>
      <c r="L40" s="29">
        <f ca="1">IFERROR(VLOOKUP(#REF!,INDIRECT("'[Dữ liệu gốc (N-X-T).xls]"&amp;TEXT(#REF!,"00")&amp;"'!$B$7:$V$257"),12,0),0)</f>
        <v>0</v>
      </c>
      <c r="M40" s="28">
        <f t="shared" ca="1" si="1"/>
        <v>0</v>
      </c>
      <c r="N40" s="26">
        <f ca="1">IFERROR(VLOOKUP(#REF!,INDIRECT("'[Dữ liệu gốc (N-X-T).xls]"&amp;TEXT(#REF!,"00")&amp;"'!$B$7:$V$257"),14,0),0)</f>
        <v>0</v>
      </c>
      <c r="O40" s="27">
        <f t="shared" ca="1" si="2"/>
        <v>0</v>
      </c>
      <c r="P40" s="26">
        <f ca="1">IFERROR(VLOOKUP(#REF!,INDIRECT("'[Dữ liệu gốc (N-X-T).xls]"&amp;TEXT(#REF!,"00")&amp;"'!$B$7:$V$257"),16,0),0)</f>
        <v>0</v>
      </c>
      <c r="Q40" s="27">
        <f t="shared" ca="1" si="4"/>
        <v>0</v>
      </c>
      <c r="R40" s="30">
        <f t="shared" ca="1" si="5"/>
        <v>0</v>
      </c>
      <c r="S40" s="27">
        <f t="shared" ca="1" si="6"/>
        <v>0</v>
      </c>
      <c r="T40" s="36"/>
      <c r="U40" s="37"/>
    </row>
    <row r="41" spans="1:21" ht="15.6" x14ac:dyDescent="0.3">
      <c r="A41" s="22">
        <v>35</v>
      </c>
      <c r="B41" s="23">
        <f>IFERROR(VLOOKUP(#REF!,'[1]01'!$B$7:$V$257,2,0),0)</f>
        <v>0</v>
      </c>
      <c r="C41" s="24">
        <f>IFERROR(VLOOKUP(#REF!,'[1]01'!$B$7:$V$257,3,0),0)</f>
        <v>0</v>
      </c>
      <c r="D41" s="25">
        <f>IFERROR(VLOOKUP(#REF!,'[1]01'!$B$7:$V$257,4,0),0)</f>
        <v>0</v>
      </c>
      <c r="E41" s="26">
        <f>IFERROR(VLOOKUP(#REF!,'[1]01'!$B$7:$V$257,5,0),0)</f>
        <v>0</v>
      </c>
      <c r="F41" s="27">
        <f t="shared" si="3"/>
        <v>0</v>
      </c>
      <c r="G41" s="26">
        <f ca="1">IFERROR(VLOOKUP(#REF!,INDIRECT("'[Dữ liệu gốc (N-X-T).xls]"&amp;TEXT(#REF!,"00")&amp;"'!$B$7:$V$257"),7,0),0)</f>
        <v>0</v>
      </c>
      <c r="H41" s="25">
        <f ca="1">IFERROR(VLOOKUP(#REF!,INDIRECT("'[Dữ liệu gốc (N-X-T).xls]"&amp;TEXT(#REF!,"00")&amp;"'!$B$7:$V$257"),8,0),0)</f>
        <v>0</v>
      </c>
      <c r="I41" s="26">
        <f ca="1">IFERROR(VLOOKUP(#REF!,INDIRECT("'[Dữ liệu gốc (N-X-T).xls]"&amp;TEXT(#REF!,"00")&amp;"'!$B$7:$V$257"),9,0),0)</f>
        <v>0</v>
      </c>
      <c r="J41" s="26">
        <f ca="1">IFERROR(VLOOKUP(#REF!,INDIRECT("'[Dữ liệu gốc (N-X-T).xls]"&amp;TEXT(#REF!,"00")&amp;"'!$B$7:$V$257"),10,0),0)</f>
        <v>0</v>
      </c>
      <c r="K41" s="28">
        <f t="shared" ca="1" si="0"/>
        <v>0</v>
      </c>
      <c r="L41" s="29">
        <f ca="1">IFERROR(VLOOKUP(#REF!,INDIRECT("'[Dữ liệu gốc (N-X-T).xls]"&amp;TEXT(#REF!,"00")&amp;"'!$B$7:$V$257"),12,0),0)</f>
        <v>0</v>
      </c>
      <c r="M41" s="28">
        <f t="shared" ca="1" si="1"/>
        <v>0</v>
      </c>
      <c r="N41" s="26">
        <f ca="1">IFERROR(VLOOKUP(#REF!,INDIRECT("'[Dữ liệu gốc (N-X-T).xls]"&amp;TEXT(#REF!,"00")&amp;"'!$B$7:$V$257"),14,0),0)</f>
        <v>0</v>
      </c>
      <c r="O41" s="27">
        <f t="shared" ca="1" si="2"/>
        <v>0</v>
      </c>
      <c r="P41" s="26">
        <f ca="1">IFERROR(VLOOKUP(#REF!,INDIRECT("'[Dữ liệu gốc (N-X-T).xls]"&amp;TEXT(#REF!,"00")&amp;"'!$B$7:$V$257"),16,0),0)</f>
        <v>0</v>
      </c>
      <c r="Q41" s="27">
        <f t="shared" ca="1" si="4"/>
        <v>0</v>
      </c>
      <c r="R41" s="30">
        <f t="shared" ca="1" si="5"/>
        <v>0</v>
      </c>
      <c r="S41" s="27">
        <f t="shared" ca="1" si="6"/>
        <v>0</v>
      </c>
      <c r="T41" s="36"/>
      <c r="U41" s="37"/>
    </row>
    <row r="42" spans="1:21" ht="15.6" x14ac:dyDescent="0.3">
      <c r="A42" s="22">
        <v>36</v>
      </c>
      <c r="B42" s="23">
        <f>IFERROR(VLOOKUP(#REF!,'[1]01'!$B$7:$V$257,2,0),0)</f>
        <v>0</v>
      </c>
      <c r="C42" s="24">
        <f>IFERROR(VLOOKUP(#REF!,'[1]01'!$B$7:$V$257,3,0),0)</f>
        <v>0</v>
      </c>
      <c r="D42" s="25">
        <f>IFERROR(VLOOKUP(#REF!,'[1]01'!$B$7:$V$257,4,0),0)</f>
        <v>0</v>
      </c>
      <c r="E42" s="26">
        <f>IFERROR(VLOOKUP(#REF!,'[1]01'!$B$7:$V$257,5,0),0)</f>
        <v>0</v>
      </c>
      <c r="F42" s="27">
        <f t="shared" si="3"/>
        <v>0</v>
      </c>
      <c r="G42" s="26">
        <f ca="1">IFERROR(VLOOKUP(#REF!,INDIRECT("'[Dữ liệu gốc (N-X-T).xls]"&amp;TEXT(#REF!,"00")&amp;"'!$B$7:$V$257"),7,0),0)</f>
        <v>0</v>
      </c>
      <c r="H42" s="25">
        <f ca="1">IFERROR(VLOOKUP(#REF!,INDIRECT("'[Dữ liệu gốc (N-X-T).xls]"&amp;TEXT(#REF!,"00")&amp;"'!$B$7:$V$257"),8,0),0)</f>
        <v>0</v>
      </c>
      <c r="I42" s="26">
        <f ca="1">IFERROR(VLOOKUP(#REF!,INDIRECT("'[Dữ liệu gốc (N-X-T).xls]"&amp;TEXT(#REF!,"00")&amp;"'!$B$7:$V$257"),9,0),0)</f>
        <v>0</v>
      </c>
      <c r="J42" s="26">
        <f ca="1">IFERROR(VLOOKUP(#REF!,INDIRECT("'[Dữ liệu gốc (N-X-T).xls]"&amp;TEXT(#REF!,"00")&amp;"'!$B$7:$V$257"),10,0),0)</f>
        <v>0</v>
      </c>
      <c r="K42" s="28">
        <f t="shared" ca="1" si="0"/>
        <v>0</v>
      </c>
      <c r="L42" s="29">
        <f ca="1">IFERROR(VLOOKUP(#REF!,INDIRECT("'[Dữ liệu gốc (N-X-T).xls]"&amp;TEXT(#REF!,"00")&amp;"'!$B$7:$V$257"),12,0),0)</f>
        <v>0</v>
      </c>
      <c r="M42" s="28">
        <f t="shared" ca="1" si="1"/>
        <v>0</v>
      </c>
      <c r="N42" s="26">
        <f ca="1">IFERROR(VLOOKUP(#REF!,INDIRECT("'[Dữ liệu gốc (N-X-T).xls]"&amp;TEXT(#REF!,"00")&amp;"'!$B$7:$V$257"),14,0),0)</f>
        <v>0</v>
      </c>
      <c r="O42" s="27">
        <f t="shared" ca="1" si="2"/>
        <v>0</v>
      </c>
      <c r="P42" s="26">
        <f ca="1">IFERROR(VLOOKUP(#REF!,INDIRECT("'[Dữ liệu gốc (N-X-T).xls]"&amp;TEXT(#REF!,"00")&amp;"'!$B$7:$V$257"),16,0),0)</f>
        <v>0</v>
      </c>
      <c r="Q42" s="27">
        <f t="shared" ca="1" si="4"/>
        <v>0</v>
      </c>
      <c r="R42" s="30">
        <f t="shared" ca="1" si="5"/>
        <v>0</v>
      </c>
      <c r="S42" s="27">
        <f t="shared" ca="1" si="6"/>
        <v>0</v>
      </c>
      <c r="T42" s="36"/>
      <c r="U42" s="37"/>
    </row>
    <row r="43" spans="1:21" ht="15.6" x14ac:dyDescent="0.3">
      <c r="A43" s="22">
        <v>37</v>
      </c>
      <c r="B43" s="23">
        <f>IFERROR(VLOOKUP(#REF!,'[1]01'!$B$7:$V$257,2,0),0)</f>
        <v>0</v>
      </c>
      <c r="C43" s="24">
        <f>IFERROR(VLOOKUP(#REF!,'[1]01'!$B$7:$V$257,3,0),0)</f>
        <v>0</v>
      </c>
      <c r="D43" s="25">
        <f>IFERROR(VLOOKUP(#REF!,'[1]01'!$B$7:$V$257,4,0),0)</f>
        <v>0</v>
      </c>
      <c r="E43" s="26">
        <f>IFERROR(VLOOKUP(#REF!,'[1]01'!$B$7:$V$257,5,0),0)</f>
        <v>0</v>
      </c>
      <c r="F43" s="27">
        <f t="shared" si="3"/>
        <v>0</v>
      </c>
      <c r="G43" s="26">
        <f ca="1">IFERROR(VLOOKUP(#REF!,INDIRECT("'[Dữ liệu gốc (N-X-T).xls]"&amp;TEXT(#REF!,"00")&amp;"'!$B$7:$V$257"),7,0),0)</f>
        <v>0</v>
      </c>
      <c r="H43" s="25">
        <f ca="1">IFERROR(VLOOKUP(#REF!,INDIRECT("'[Dữ liệu gốc (N-X-T).xls]"&amp;TEXT(#REF!,"00")&amp;"'!$B$7:$V$257"),8,0),0)</f>
        <v>0</v>
      </c>
      <c r="I43" s="26">
        <f ca="1">IFERROR(VLOOKUP(#REF!,INDIRECT("'[Dữ liệu gốc (N-X-T).xls]"&amp;TEXT(#REF!,"00")&amp;"'!$B$7:$V$257"),9,0),0)</f>
        <v>0</v>
      </c>
      <c r="J43" s="26">
        <f ca="1">IFERROR(VLOOKUP(#REF!,INDIRECT("'[Dữ liệu gốc (N-X-T).xls]"&amp;TEXT(#REF!,"00")&amp;"'!$B$7:$V$257"),10,0),0)</f>
        <v>0</v>
      </c>
      <c r="K43" s="28">
        <f t="shared" ca="1" si="0"/>
        <v>0</v>
      </c>
      <c r="L43" s="29">
        <f ca="1">IFERROR(VLOOKUP(#REF!,INDIRECT("'[Dữ liệu gốc (N-X-T).xls]"&amp;TEXT(#REF!,"00")&amp;"'!$B$7:$V$257"),12,0),0)</f>
        <v>0</v>
      </c>
      <c r="M43" s="28">
        <f t="shared" ca="1" si="1"/>
        <v>0</v>
      </c>
      <c r="N43" s="26">
        <f ca="1">IFERROR(VLOOKUP(#REF!,INDIRECT("'[Dữ liệu gốc (N-X-T).xls]"&amp;TEXT(#REF!,"00")&amp;"'!$B$7:$V$257"),14,0),0)</f>
        <v>0</v>
      </c>
      <c r="O43" s="27">
        <f t="shared" ca="1" si="2"/>
        <v>0</v>
      </c>
      <c r="P43" s="26">
        <f ca="1">IFERROR(VLOOKUP(#REF!,INDIRECT("'[Dữ liệu gốc (N-X-T).xls]"&amp;TEXT(#REF!,"00")&amp;"'!$B$7:$V$257"),16,0),0)</f>
        <v>0</v>
      </c>
      <c r="Q43" s="27">
        <f t="shared" ca="1" si="4"/>
        <v>0</v>
      </c>
      <c r="R43" s="30">
        <f t="shared" ca="1" si="5"/>
        <v>0</v>
      </c>
      <c r="S43" s="27">
        <f t="shared" ca="1" si="6"/>
        <v>0</v>
      </c>
      <c r="T43" s="36"/>
      <c r="U43" s="37"/>
    </row>
    <row r="44" spans="1:21" ht="15.6" x14ac:dyDescent="0.3">
      <c r="A44" s="22">
        <v>38</v>
      </c>
      <c r="B44" s="23">
        <f>IFERROR(VLOOKUP(#REF!,'[1]01'!$B$7:$V$257,2,0),0)</f>
        <v>0</v>
      </c>
      <c r="C44" s="24">
        <f>IFERROR(VLOOKUP(#REF!,'[1]01'!$B$7:$V$257,3,0),0)</f>
        <v>0</v>
      </c>
      <c r="D44" s="25">
        <f>IFERROR(VLOOKUP(#REF!,'[1]01'!$B$7:$V$257,4,0),0)</f>
        <v>0</v>
      </c>
      <c r="E44" s="26">
        <f>IFERROR(VLOOKUP(#REF!,'[1]01'!$B$7:$V$257,5,0),0)</f>
        <v>0</v>
      </c>
      <c r="F44" s="27">
        <f t="shared" si="3"/>
        <v>0</v>
      </c>
      <c r="G44" s="26">
        <f ca="1">IFERROR(VLOOKUP(#REF!,INDIRECT("'[Dữ liệu gốc (N-X-T).xls]"&amp;TEXT(#REF!,"00")&amp;"'!$B$7:$V$257"),7,0),0)</f>
        <v>0</v>
      </c>
      <c r="H44" s="25">
        <f ca="1">IFERROR(VLOOKUP(#REF!,INDIRECT("'[Dữ liệu gốc (N-X-T).xls]"&amp;TEXT(#REF!,"00")&amp;"'!$B$7:$V$257"),8,0),0)</f>
        <v>0</v>
      </c>
      <c r="I44" s="26">
        <f ca="1">IFERROR(VLOOKUP(#REF!,INDIRECT("'[Dữ liệu gốc (N-X-T).xls]"&amp;TEXT(#REF!,"00")&amp;"'!$B$7:$V$257"),9,0),0)</f>
        <v>0</v>
      </c>
      <c r="J44" s="26">
        <f ca="1">IFERROR(VLOOKUP(#REF!,INDIRECT("'[Dữ liệu gốc (N-X-T).xls]"&amp;TEXT(#REF!,"00")&amp;"'!$B$7:$V$257"),10,0),0)</f>
        <v>0</v>
      </c>
      <c r="K44" s="28">
        <f t="shared" ca="1" si="0"/>
        <v>0</v>
      </c>
      <c r="L44" s="29">
        <f ca="1">IFERROR(VLOOKUP(#REF!,INDIRECT("'[Dữ liệu gốc (N-X-T).xls]"&amp;TEXT(#REF!,"00")&amp;"'!$B$7:$V$257"),12,0),0)</f>
        <v>0</v>
      </c>
      <c r="M44" s="28">
        <f t="shared" ca="1" si="1"/>
        <v>0</v>
      </c>
      <c r="N44" s="26">
        <f ca="1">IFERROR(VLOOKUP(#REF!,INDIRECT("'[Dữ liệu gốc (N-X-T).xls]"&amp;TEXT(#REF!,"00")&amp;"'!$B$7:$V$257"),14,0),0)</f>
        <v>0</v>
      </c>
      <c r="O44" s="27">
        <f t="shared" ca="1" si="2"/>
        <v>0</v>
      </c>
      <c r="P44" s="26">
        <f ca="1">IFERROR(VLOOKUP(#REF!,INDIRECT("'[Dữ liệu gốc (N-X-T).xls]"&amp;TEXT(#REF!,"00")&amp;"'!$B$7:$V$257"),16,0),0)</f>
        <v>0</v>
      </c>
      <c r="Q44" s="27">
        <f t="shared" ca="1" si="4"/>
        <v>0</v>
      </c>
      <c r="R44" s="30">
        <f t="shared" ca="1" si="5"/>
        <v>0</v>
      </c>
      <c r="S44" s="27">
        <f t="shared" ca="1" si="6"/>
        <v>0</v>
      </c>
      <c r="T44" s="36"/>
      <c r="U44" s="37"/>
    </row>
    <row r="45" spans="1:21" ht="15.6" x14ac:dyDescent="0.3">
      <c r="A45" s="22">
        <v>39</v>
      </c>
      <c r="B45" s="23">
        <f>IFERROR(VLOOKUP(#REF!,'[1]01'!$B$7:$V$257,2,0),0)</f>
        <v>0</v>
      </c>
      <c r="C45" s="24">
        <f>IFERROR(VLOOKUP(#REF!,'[1]01'!$B$7:$V$257,3,0),0)</f>
        <v>0</v>
      </c>
      <c r="D45" s="25">
        <f>IFERROR(VLOOKUP(#REF!,'[1]01'!$B$7:$V$257,4,0),0)</f>
        <v>0</v>
      </c>
      <c r="E45" s="26">
        <f>IFERROR(VLOOKUP(#REF!,'[1]01'!$B$7:$V$257,5,0),0)</f>
        <v>0</v>
      </c>
      <c r="F45" s="27">
        <f t="shared" si="3"/>
        <v>0</v>
      </c>
      <c r="G45" s="26">
        <f ca="1">IFERROR(VLOOKUP(#REF!,INDIRECT("'[Dữ liệu gốc (N-X-T).xls]"&amp;TEXT(#REF!,"00")&amp;"'!$B$7:$V$257"),7,0),0)</f>
        <v>0</v>
      </c>
      <c r="H45" s="25">
        <f ca="1">IFERROR(VLOOKUP(#REF!,INDIRECT("'[Dữ liệu gốc (N-X-T).xls]"&amp;TEXT(#REF!,"00")&amp;"'!$B$7:$V$257"),8,0),0)</f>
        <v>0</v>
      </c>
      <c r="I45" s="26">
        <f ca="1">IFERROR(VLOOKUP(#REF!,INDIRECT("'[Dữ liệu gốc (N-X-T).xls]"&amp;TEXT(#REF!,"00")&amp;"'!$B$7:$V$257"),9,0),0)</f>
        <v>0</v>
      </c>
      <c r="J45" s="26">
        <f ca="1">IFERROR(VLOOKUP(#REF!,INDIRECT("'[Dữ liệu gốc (N-X-T).xls]"&amp;TEXT(#REF!,"00")&amp;"'!$B$7:$V$257"),10,0),0)</f>
        <v>0</v>
      </c>
      <c r="K45" s="28">
        <f t="shared" ca="1" si="0"/>
        <v>0</v>
      </c>
      <c r="L45" s="29">
        <f ca="1">IFERROR(VLOOKUP(#REF!,INDIRECT("'[Dữ liệu gốc (N-X-T).xls]"&amp;TEXT(#REF!,"00")&amp;"'!$B$7:$V$257"),12,0),0)</f>
        <v>0</v>
      </c>
      <c r="M45" s="28">
        <f t="shared" ca="1" si="1"/>
        <v>0</v>
      </c>
      <c r="N45" s="26">
        <f ca="1">IFERROR(VLOOKUP(#REF!,INDIRECT("'[Dữ liệu gốc (N-X-T).xls]"&amp;TEXT(#REF!,"00")&amp;"'!$B$7:$V$257"),14,0),0)</f>
        <v>0</v>
      </c>
      <c r="O45" s="27">
        <f t="shared" ca="1" si="2"/>
        <v>0</v>
      </c>
      <c r="P45" s="26">
        <f ca="1">IFERROR(VLOOKUP(#REF!,INDIRECT("'[Dữ liệu gốc (N-X-T).xls]"&amp;TEXT(#REF!,"00")&amp;"'!$B$7:$V$257"),16,0),0)</f>
        <v>0</v>
      </c>
      <c r="Q45" s="27">
        <f t="shared" ca="1" si="4"/>
        <v>0</v>
      </c>
      <c r="R45" s="30">
        <f t="shared" ca="1" si="5"/>
        <v>0</v>
      </c>
      <c r="S45" s="27">
        <f t="shared" ca="1" si="6"/>
        <v>0</v>
      </c>
      <c r="T45" s="36"/>
      <c r="U45" s="37"/>
    </row>
    <row r="46" spans="1:21" ht="15.6" x14ac:dyDescent="0.3">
      <c r="A46" s="22">
        <v>40</v>
      </c>
      <c r="B46" s="23">
        <f>IFERROR(VLOOKUP(#REF!,'[1]01'!$B$7:$V$257,2,0),0)</f>
        <v>0</v>
      </c>
      <c r="C46" s="24">
        <f>IFERROR(VLOOKUP(#REF!,'[1]01'!$B$7:$V$257,3,0),0)</f>
        <v>0</v>
      </c>
      <c r="D46" s="25">
        <f>IFERROR(VLOOKUP(#REF!,'[1]01'!$B$7:$V$257,4,0),0)</f>
        <v>0</v>
      </c>
      <c r="E46" s="26">
        <f>IFERROR(VLOOKUP(#REF!,'[1]01'!$B$7:$V$257,5,0),0)</f>
        <v>0</v>
      </c>
      <c r="F46" s="27">
        <f t="shared" si="3"/>
        <v>0</v>
      </c>
      <c r="G46" s="26">
        <f ca="1">IFERROR(VLOOKUP(#REF!,INDIRECT("'[Dữ liệu gốc (N-X-T).xls]"&amp;TEXT(#REF!,"00")&amp;"'!$B$7:$V$257"),7,0),0)</f>
        <v>0</v>
      </c>
      <c r="H46" s="25">
        <f ca="1">IFERROR(VLOOKUP(#REF!,INDIRECT("'[Dữ liệu gốc (N-X-T).xls]"&amp;TEXT(#REF!,"00")&amp;"'!$B$7:$V$257"),8,0),0)</f>
        <v>0</v>
      </c>
      <c r="I46" s="26">
        <f ca="1">IFERROR(VLOOKUP(#REF!,INDIRECT("'[Dữ liệu gốc (N-X-T).xls]"&amp;TEXT(#REF!,"00")&amp;"'!$B$7:$V$257"),9,0),0)</f>
        <v>0</v>
      </c>
      <c r="J46" s="26">
        <f ca="1">IFERROR(VLOOKUP(#REF!,INDIRECT("'[Dữ liệu gốc (N-X-T).xls]"&amp;TEXT(#REF!,"00")&amp;"'!$B$7:$V$257"),10,0),0)</f>
        <v>0</v>
      </c>
      <c r="K46" s="28">
        <f t="shared" ca="1" si="0"/>
        <v>0</v>
      </c>
      <c r="L46" s="29">
        <f ca="1">IFERROR(VLOOKUP(#REF!,INDIRECT("'[Dữ liệu gốc (N-X-T).xls]"&amp;TEXT(#REF!,"00")&amp;"'!$B$7:$V$257"),12,0),0)</f>
        <v>0</v>
      </c>
      <c r="M46" s="28">
        <f t="shared" ca="1" si="1"/>
        <v>0</v>
      </c>
      <c r="N46" s="26">
        <f ca="1">IFERROR(VLOOKUP(#REF!,INDIRECT("'[Dữ liệu gốc (N-X-T).xls]"&amp;TEXT(#REF!,"00")&amp;"'!$B$7:$V$257"),14,0),0)</f>
        <v>0</v>
      </c>
      <c r="O46" s="27">
        <f t="shared" ca="1" si="2"/>
        <v>0</v>
      </c>
      <c r="P46" s="26">
        <f ca="1">IFERROR(VLOOKUP(#REF!,INDIRECT("'[Dữ liệu gốc (N-X-T).xls]"&amp;TEXT(#REF!,"00")&amp;"'!$B$7:$V$257"),16,0),0)</f>
        <v>0</v>
      </c>
      <c r="Q46" s="27">
        <f t="shared" ca="1" si="4"/>
        <v>0</v>
      </c>
      <c r="R46" s="30">
        <f t="shared" ca="1" si="5"/>
        <v>0</v>
      </c>
      <c r="S46" s="27">
        <f t="shared" ca="1" si="6"/>
        <v>0</v>
      </c>
      <c r="T46" s="36"/>
      <c r="U46" s="37"/>
    </row>
    <row r="47" spans="1:21" ht="15.6" x14ac:dyDescent="0.3">
      <c r="A47" s="22">
        <v>41</v>
      </c>
      <c r="B47" s="23">
        <f>IFERROR(VLOOKUP(#REF!,'[1]01'!$B$7:$V$257,2,0),0)</f>
        <v>0</v>
      </c>
      <c r="C47" s="24">
        <f>IFERROR(VLOOKUP(#REF!,'[1]01'!$B$7:$V$257,3,0),0)</f>
        <v>0</v>
      </c>
      <c r="D47" s="25">
        <f>IFERROR(VLOOKUP(#REF!,'[1]01'!$B$7:$V$257,4,0),0)</f>
        <v>0</v>
      </c>
      <c r="E47" s="26">
        <f>IFERROR(VLOOKUP(#REF!,'[1]01'!$B$7:$V$257,5,0),0)</f>
        <v>0</v>
      </c>
      <c r="F47" s="27">
        <f t="shared" si="3"/>
        <v>0</v>
      </c>
      <c r="G47" s="26">
        <f ca="1">IFERROR(VLOOKUP(#REF!,INDIRECT("'[Dữ liệu gốc (N-X-T).xls]"&amp;TEXT(#REF!,"00")&amp;"'!$B$7:$V$257"),7,0),0)</f>
        <v>0</v>
      </c>
      <c r="H47" s="25">
        <f ca="1">IFERROR(VLOOKUP(#REF!,INDIRECT("'[Dữ liệu gốc (N-X-T).xls]"&amp;TEXT(#REF!,"00")&amp;"'!$B$7:$V$257"),8,0),0)</f>
        <v>0</v>
      </c>
      <c r="I47" s="26">
        <f ca="1">IFERROR(VLOOKUP(#REF!,INDIRECT("'[Dữ liệu gốc (N-X-T).xls]"&amp;TEXT(#REF!,"00")&amp;"'!$B$7:$V$257"),9,0),0)</f>
        <v>0</v>
      </c>
      <c r="J47" s="26">
        <f ca="1">IFERROR(VLOOKUP(#REF!,INDIRECT("'[Dữ liệu gốc (N-X-T).xls]"&amp;TEXT(#REF!,"00")&amp;"'!$B$7:$V$257"),10,0),0)</f>
        <v>0</v>
      </c>
      <c r="K47" s="28">
        <f t="shared" ca="1" si="0"/>
        <v>0</v>
      </c>
      <c r="L47" s="29">
        <f ca="1">IFERROR(VLOOKUP(#REF!,INDIRECT("'[Dữ liệu gốc (N-X-T).xls]"&amp;TEXT(#REF!,"00")&amp;"'!$B$7:$V$257"),12,0),0)</f>
        <v>0</v>
      </c>
      <c r="M47" s="28">
        <f t="shared" ca="1" si="1"/>
        <v>0</v>
      </c>
      <c r="N47" s="26">
        <f ca="1">IFERROR(VLOOKUP(#REF!,INDIRECT("'[Dữ liệu gốc (N-X-T).xls]"&amp;TEXT(#REF!,"00")&amp;"'!$B$7:$V$257"),14,0),0)</f>
        <v>0</v>
      </c>
      <c r="O47" s="27">
        <f t="shared" ca="1" si="2"/>
        <v>0</v>
      </c>
      <c r="P47" s="26">
        <f ca="1">IFERROR(VLOOKUP(#REF!,INDIRECT("'[Dữ liệu gốc (N-X-T).xls]"&amp;TEXT(#REF!,"00")&amp;"'!$B$7:$V$257"),16,0),0)</f>
        <v>0</v>
      </c>
      <c r="Q47" s="27">
        <f t="shared" ca="1" si="4"/>
        <v>0</v>
      </c>
      <c r="R47" s="30">
        <f t="shared" ca="1" si="5"/>
        <v>0</v>
      </c>
      <c r="S47" s="27">
        <f t="shared" ca="1" si="6"/>
        <v>0</v>
      </c>
      <c r="T47" s="36"/>
      <c r="U47" s="37"/>
    </row>
    <row r="48" spans="1:21" ht="15.6" x14ac:dyDescent="0.3">
      <c r="A48" s="22">
        <v>42</v>
      </c>
      <c r="B48" s="23">
        <f>IFERROR(VLOOKUP(#REF!,'[1]01'!$B$7:$V$257,2,0),0)</f>
        <v>0</v>
      </c>
      <c r="C48" s="24">
        <f>IFERROR(VLOOKUP(#REF!,'[1]01'!$B$7:$V$257,3,0),0)</f>
        <v>0</v>
      </c>
      <c r="D48" s="25">
        <f>IFERROR(VLOOKUP(#REF!,'[1]01'!$B$7:$V$257,4,0),0)</f>
        <v>0</v>
      </c>
      <c r="E48" s="26">
        <f>IFERROR(VLOOKUP(#REF!,'[1]01'!$B$7:$V$257,5,0),0)</f>
        <v>0</v>
      </c>
      <c r="F48" s="27">
        <f t="shared" si="3"/>
        <v>0</v>
      </c>
      <c r="G48" s="26">
        <f ca="1">IFERROR(VLOOKUP(#REF!,INDIRECT("'[Dữ liệu gốc (N-X-T).xls]"&amp;TEXT(#REF!,"00")&amp;"'!$B$7:$V$257"),7,0),0)</f>
        <v>0</v>
      </c>
      <c r="H48" s="25">
        <f ca="1">IFERROR(VLOOKUP(#REF!,INDIRECT("'[Dữ liệu gốc (N-X-T).xls]"&amp;TEXT(#REF!,"00")&amp;"'!$B$7:$V$257"),8,0),0)</f>
        <v>0</v>
      </c>
      <c r="I48" s="26">
        <f ca="1">IFERROR(VLOOKUP(#REF!,INDIRECT("'[Dữ liệu gốc (N-X-T).xls]"&amp;TEXT(#REF!,"00")&amp;"'!$B$7:$V$257"),9,0),0)</f>
        <v>0</v>
      </c>
      <c r="J48" s="26">
        <f ca="1">IFERROR(VLOOKUP(#REF!,INDIRECT("'[Dữ liệu gốc (N-X-T).xls]"&amp;TEXT(#REF!,"00")&amp;"'!$B$7:$V$257"),10,0),0)</f>
        <v>0</v>
      </c>
      <c r="K48" s="28">
        <f t="shared" ca="1" si="0"/>
        <v>0</v>
      </c>
      <c r="L48" s="29">
        <f ca="1">IFERROR(VLOOKUP(#REF!,INDIRECT("'[Dữ liệu gốc (N-X-T).xls]"&amp;TEXT(#REF!,"00")&amp;"'!$B$7:$V$257"),12,0),0)</f>
        <v>0</v>
      </c>
      <c r="M48" s="28">
        <f t="shared" ca="1" si="1"/>
        <v>0</v>
      </c>
      <c r="N48" s="26">
        <f ca="1">IFERROR(VLOOKUP(#REF!,INDIRECT("'[Dữ liệu gốc (N-X-T).xls]"&amp;TEXT(#REF!,"00")&amp;"'!$B$7:$V$257"),14,0),0)</f>
        <v>0</v>
      </c>
      <c r="O48" s="27">
        <f t="shared" ca="1" si="2"/>
        <v>0</v>
      </c>
      <c r="P48" s="26">
        <f ca="1">IFERROR(VLOOKUP(#REF!,INDIRECT("'[Dữ liệu gốc (N-X-T).xls]"&amp;TEXT(#REF!,"00")&amp;"'!$B$7:$V$257"),16,0),0)</f>
        <v>0</v>
      </c>
      <c r="Q48" s="27">
        <f t="shared" ca="1" si="4"/>
        <v>0</v>
      </c>
      <c r="R48" s="30">
        <f t="shared" ca="1" si="5"/>
        <v>0</v>
      </c>
      <c r="S48" s="27">
        <f t="shared" ca="1" si="6"/>
        <v>0</v>
      </c>
      <c r="T48" s="36"/>
      <c r="U48" s="37"/>
    </row>
    <row r="49" spans="1:21" ht="15.6" x14ac:dyDescent="0.3">
      <c r="A49" s="22">
        <v>43</v>
      </c>
      <c r="B49" s="23">
        <f>IFERROR(VLOOKUP(#REF!,'[1]01'!$B$7:$V$257,2,0),0)</f>
        <v>0</v>
      </c>
      <c r="C49" s="24">
        <f>IFERROR(VLOOKUP(#REF!,'[1]01'!$B$7:$V$257,3,0),0)</f>
        <v>0</v>
      </c>
      <c r="D49" s="25">
        <f>IFERROR(VLOOKUP(#REF!,'[1]01'!$B$7:$V$257,4,0),0)</f>
        <v>0</v>
      </c>
      <c r="E49" s="26">
        <f>IFERROR(VLOOKUP(#REF!,'[1]01'!$B$7:$V$257,5,0),0)</f>
        <v>0</v>
      </c>
      <c r="F49" s="27">
        <f t="shared" si="3"/>
        <v>0</v>
      </c>
      <c r="G49" s="26">
        <f ca="1">IFERROR(VLOOKUP(#REF!,INDIRECT("'[Dữ liệu gốc (N-X-T).xls]"&amp;TEXT(#REF!,"00")&amp;"'!$B$7:$V$257"),7,0),0)</f>
        <v>0</v>
      </c>
      <c r="H49" s="25">
        <f ca="1">IFERROR(VLOOKUP(#REF!,INDIRECT("'[Dữ liệu gốc (N-X-T).xls]"&amp;TEXT(#REF!,"00")&amp;"'!$B$7:$V$257"),8,0),0)</f>
        <v>0</v>
      </c>
      <c r="I49" s="26">
        <f ca="1">IFERROR(VLOOKUP(#REF!,INDIRECT("'[Dữ liệu gốc (N-X-T).xls]"&amp;TEXT(#REF!,"00")&amp;"'!$B$7:$V$257"),9,0),0)</f>
        <v>0</v>
      </c>
      <c r="J49" s="26">
        <f ca="1">IFERROR(VLOOKUP(#REF!,INDIRECT("'[Dữ liệu gốc (N-X-T).xls]"&amp;TEXT(#REF!,"00")&amp;"'!$B$7:$V$257"),10,0),0)</f>
        <v>0</v>
      </c>
      <c r="K49" s="28">
        <f t="shared" ca="1" si="0"/>
        <v>0</v>
      </c>
      <c r="L49" s="29">
        <f ca="1">IFERROR(VLOOKUP(#REF!,INDIRECT("'[Dữ liệu gốc (N-X-T).xls]"&amp;TEXT(#REF!,"00")&amp;"'!$B$7:$V$257"),12,0),0)</f>
        <v>0</v>
      </c>
      <c r="M49" s="28">
        <f t="shared" ca="1" si="1"/>
        <v>0</v>
      </c>
      <c r="N49" s="26">
        <f ca="1">IFERROR(VLOOKUP(#REF!,INDIRECT("'[Dữ liệu gốc (N-X-T).xls]"&amp;TEXT(#REF!,"00")&amp;"'!$B$7:$V$257"),14,0),0)</f>
        <v>0</v>
      </c>
      <c r="O49" s="27">
        <f t="shared" ca="1" si="2"/>
        <v>0</v>
      </c>
      <c r="P49" s="26">
        <f ca="1">IFERROR(VLOOKUP(#REF!,INDIRECT("'[Dữ liệu gốc (N-X-T).xls]"&amp;TEXT(#REF!,"00")&amp;"'!$B$7:$V$257"),16,0),0)</f>
        <v>0</v>
      </c>
      <c r="Q49" s="27">
        <f t="shared" ca="1" si="4"/>
        <v>0</v>
      </c>
      <c r="R49" s="30">
        <f t="shared" ca="1" si="5"/>
        <v>0</v>
      </c>
      <c r="S49" s="27">
        <f t="shared" ca="1" si="6"/>
        <v>0</v>
      </c>
      <c r="T49" s="36"/>
      <c r="U49" s="37"/>
    </row>
    <row r="50" spans="1:21" ht="15.6" x14ac:dyDescent="0.3">
      <c r="A50" s="22">
        <v>44</v>
      </c>
      <c r="B50" s="23">
        <f>IFERROR(VLOOKUP(#REF!,'[1]01'!$B$7:$V$257,2,0),0)</f>
        <v>0</v>
      </c>
      <c r="C50" s="24">
        <f>IFERROR(VLOOKUP(#REF!,'[1]01'!$B$7:$V$257,3,0),0)</f>
        <v>0</v>
      </c>
      <c r="D50" s="25">
        <f>IFERROR(VLOOKUP(#REF!,'[1]01'!$B$7:$V$257,4,0),0)</f>
        <v>0</v>
      </c>
      <c r="E50" s="26">
        <f>IFERROR(VLOOKUP(#REF!,'[1]01'!$B$7:$V$257,5,0),0)</f>
        <v>0</v>
      </c>
      <c r="F50" s="27">
        <f t="shared" si="3"/>
        <v>0</v>
      </c>
      <c r="G50" s="26">
        <f ca="1">IFERROR(VLOOKUP(#REF!,INDIRECT("'[Dữ liệu gốc (N-X-T).xls]"&amp;TEXT(#REF!,"00")&amp;"'!$B$7:$V$257"),7,0),0)</f>
        <v>0</v>
      </c>
      <c r="H50" s="25">
        <f ca="1">IFERROR(VLOOKUP(#REF!,INDIRECT("'[Dữ liệu gốc (N-X-T).xls]"&amp;TEXT(#REF!,"00")&amp;"'!$B$7:$V$257"),8,0),0)</f>
        <v>0</v>
      </c>
      <c r="I50" s="26">
        <f ca="1">IFERROR(VLOOKUP(#REF!,INDIRECT("'[Dữ liệu gốc (N-X-T).xls]"&amp;TEXT(#REF!,"00")&amp;"'!$B$7:$V$257"),9,0),0)</f>
        <v>0</v>
      </c>
      <c r="J50" s="26">
        <f ca="1">IFERROR(VLOOKUP(#REF!,INDIRECT("'[Dữ liệu gốc (N-X-T).xls]"&amp;TEXT(#REF!,"00")&amp;"'!$B$7:$V$257"),10,0),0)</f>
        <v>0</v>
      </c>
      <c r="K50" s="28">
        <f t="shared" ca="1" si="0"/>
        <v>0</v>
      </c>
      <c r="L50" s="29">
        <f ca="1">IFERROR(VLOOKUP(#REF!,INDIRECT("'[Dữ liệu gốc (N-X-T).xls]"&amp;TEXT(#REF!,"00")&amp;"'!$B$7:$V$257"),12,0),0)</f>
        <v>0</v>
      </c>
      <c r="M50" s="28">
        <f t="shared" ca="1" si="1"/>
        <v>0</v>
      </c>
      <c r="N50" s="26">
        <f ca="1">IFERROR(VLOOKUP(#REF!,INDIRECT("'[Dữ liệu gốc (N-X-T).xls]"&amp;TEXT(#REF!,"00")&amp;"'!$B$7:$V$257"),14,0),0)</f>
        <v>0</v>
      </c>
      <c r="O50" s="27">
        <f t="shared" ca="1" si="2"/>
        <v>0</v>
      </c>
      <c r="P50" s="26">
        <f ca="1">IFERROR(VLOOKUP(#REF!,INDIRECT("'[Dữ liệu gốc (N-X-T).xls]"&amp;TEXT(#REF!,"00")&amp;"'!$B$7:$V$257"),16,0),0)</f>
        <v>0</v>
      </c>
      <c r="Q50" s="27">
        <f t="shared" ca="1" si="4"/>
        <v>0</v>
      </c>
      <c r="R50" s="30">
        <f t="shared" ca="1" si="5"/>
        <v>0</v>
      </c>
      <c r="S50" s="27">
        <f t="shared" ca="1" si="6"/>
        <v>0</v>
      </c>
      <c r="T50" s="36"/>
      <c r="U50" s="37"/>
    </row>
    <row r="51" spans="1:21" ht="15.6" x14ac:dyDescent="0.3">
      <c r="A51" s="22">
        <v>45</v>
      </c>
      <c r="B51" s="23">
        <f>IFERROR(VLOOKUP(#REF!,'[1]01'!$B$7:$V$257,2,0),0)</f>
        <v>0</v>
      </c>
      <c r="C51" s="24">
        <f>IFERROR(VLOOKUP(#REF!,'[1]01'!$B$7:$V$257,3,0),0)</f>
        <v>0</v>
      </c>
      <c r="D51" s="25">
        <f>IFERROR(VLOOKUP(#REF!,'[1]01'!$B$7:$V$257,4,0),0)</f>
        <v>0</v>
      </c>
      <c r="E51" s="26">
        <f>IFERROR(VLOOKUP(#REF!,'[1]01'!$B$7:$V$257,5,0),0)</f>
        <v>0</v>
      </c>
      <c r="F51" s="27">
        <f>D51*E51</f>
        <v>0</v>
      </c>
      <c r="G51" s="26">
        <f ca="1">IFERROR(VLOOKUP(#REF!,INDIRECT("'[Dữ liệu gốc (N-X-T).xls]"&amp;TEXT(#REF!,"00")&amp;"'!$B$7:$V$257"),7,0),0)</f>
        <v>0</v>
      </c>
      <c r="H51" s="25">
        <f ca="1">IFERROR(VLOOKUP(#REF!,INDIRECT("'[Dữ liệu gốc (N-X-T).xls]"&amp;TEXT(#REF!,"00")&amp;"'!$B$7:$V$257"),8,0),0)</f>
        <v>0</v>
      </c>
      <c r="I51" s="26">
        <f ca="1">IFERROR(VLOOKUP(#REF!,INDIRECT("'[Dữ liệu gốc (N-X-T).xls]"&amp;TEXT(#REF!,"00")&amp;"'!$B$7:$V$257"),9,0),0)</f>
        <v>0</v>
      </c>
      <c r="J51" s="26">
        <f ca="1">IFERROR(VLOOKUP(#REF!,INDIRECT("'[Dữ liệu gốc (N-X-T).xls]"&amp;TEXT(#REF!,"00")&amp;"'!$B$7:$V$257"),10,0),0)</f>
        <v>0</v>
      </c>
      <c r="K51" s="28">
        <f t="shared" ca="1" si="0"/>
        <v>0</v>
      </c>
      <c r="L51" s="38">
        <f ca="1">IFERROR(VLOOKUP(#REF!,INDIRECT("'[Dữ liệu gốc (N-X-T).xls]"&amp;TEXT(#REF!,"00")&amp;"'!$B$7:$V$257"),12,0),0)</f>
        <v>0</v>
      </c>
      <c r="M51" s="39">
        <f t="shared" ca="1" si="1"/>
        <v>0</v>
      </c>
      <c r="N51" s="40">
        <f ca="1">IFERROR(VLOOKUP(#REF!,INDIRECT("'[Dữ liệu gốc (N-X-T).xls]"&amp;TEXT(#REF!,"00")&amp;"'!$B$7:$V$257"),14,0),0)</f>
        <v>0</v>
      </c>
      <c r="O51" s="41">
        <f t="shared" ca="1" si="2"/>
        <v>0</v>
      </c>
      <c r="P51" s="40">
        <f>IFERROR(VLOOKUP(#REF!,'[1]01'!$B$7:$V$257,15,0),0)</f>
        <v>0</v>
      </c>
      <c r="Q51" s="27">
        <f>D51*P51</f>
        <v>0</v>
      </c>
      <c r="R51" s="30">
        <f ca="1">N51+P51</f>
        <v>0</v>
      </c>
      <c r="S51" s="27">
        <f ca="1">R51*D51</f>
        <v>0</v>
      </c>
      <c r="T51" s="36"/>
      <c r="U51" s="37"/>
    </row>
    <row r="52" spans="1:21" ht="15.6" x14ac:dyDescent="0.3">
      <c r="A52" s="22">
        <v>46</v>
      </c>
      <c r="B52" s="23">
        <f>IFERROR(VLOOKUP(#REF!,'[1]01'!$B$7:$V$257,2,0),0)</f>
        <v>0</v>
      </c>
      <c r="C52" s="24">
        <f>IFERROR(VLOOKUP(#REF!,'[1]01'!$B$7:$V$257,3,0),0)</f>
        <v>0</v>
      </c>
      <c r="D52" s="25">
        <f>IFERROR(VLOOKUP(#REF!,'[1]01'!$B$7:$V$257,4,0),0)</f>
        <v>0</v>
      </c>
      <c r="E52" s="26">
        <f>IFERROR(VLOOKUP(#REF!,'[1]01'!$B$7:$V$257,5,0),0)</f>
        <v>0</v>
      </c>
      <c r="F52" s="27">
        <f t="shared" ref="F52:F67" si="7">D52*E52</f>
        <v>0</v>
      </c>
      <c r="G52" s="40">
        <f ca="1">IFERROR(VLOOKUP(#REF!,INDIRECT("'[Dữ liệu gốc (N-X-T).xls]"&amp;TEXT(#REF!,"00")&amp;"'!$B$7:$V$257"),7,0),0)</f>
        <v>0</v>
      </c>
      <c r="H52" s="42">
        <f ca="1">IFERROR(VLOOKUP(#REF!,INDIRECT("'[Dữ liệu gốc (N-X-T).xls]"&amp;TEXT(#REF!,"00")&amp;"'!$B$7:$V$257"),8,0),0)</f>
        <v>0</v>
      </c>
      <c r="I52" s="40">
        <f ca="1">IFERROR(VLOOKUP(#REF!,INDIRECT("'[Dữ liệu gốc (N-X-T).xls]"&amp;TEXT(#REF!,"00")&amp;"'!$B$7:$V$257"),9,0),0)</f>
        <v>0</v>
      </c>
      <c r="J52" s="40">
        <f ca="1">IFERROR(VLOOKUP(#REF!,INDIRECT("'[Dữ liệu gốc (N-X-T).xls]"&amp;TEXT(#REF!,"00")&amp;"'!$B$7:$V$257"),10,0),0)</f>
        <v>0</v>
      </c>
      <c r="K52" s="39">
        <f t="shared" ca="1" si="0"/>
        <v>0</v>
      </c>
      <c r="L52" s="29">
        <f>IFERROR(VLOOKUP(#REF!,'[1]01'!$B$7:$V$257,11,0),0)</f>
        <v>0</v>
      </c>
      <c r="M52" s="28">
        <f t="shared" si="1"/>
        <v>0</v>
      </c>
      <c r="N52" s="26">
        <f>IFERROR(VLOOKUP(#REF!,'[1]01'!$B$7:$V$257,13,0),0)</f>
        <v>0</v>
      </c>
      <c r="O52" s="27">
        <f t="shared" si="2"/>
        <v>0</v>
      </c>
      <c r="P52" s="26">
        <f>IFERROR(VLOOKUP(#REF!,'[1]01'!$B$7:$V$257,15,0),0)</f>
        <v>0</v>
      </c>
      <c r="Q52" s="27">
        <f t="shared" ref="Q52:Q67" si="8">D52*P52</f>
        <v>0</v>
      </c>
      <c r="R52" s="30">
        <f t="shared" ref="R52:R67" si="9">N52+P52</f>
        <v>0</v>
      </c>
      <c r="S52" s="27">
        <f t="shared" ref="S52:S67" si="10">R52*D52</f>
        <v>0</v>
      </c>
      <c r="T52" s="36"/>
      <c r="U52" s="37"/>
    </row>
    <row r="53" spans="1:21" ht="15.6" x14ac:dyDescent="0.3">
      <c r="A53" s="22">
        <v>47</v>
      </c>
      <c r="B53" s="23">
        <f>IFERROR(VLOOKUP(#REF!,'[1]01'!$B$7:$V$257,2,0),0)</f>
        <v>0</v>
      </c>
      <c r="C53" s="24">
        <f>IFERROR(VLOOKUP(#REF!,'[1]01'!$B$7:$V$257,3,0),0)</f>
        <v>0</v>
      </c>
      <c r="D53" s="25">
        <f>IFERROR(VLOOKUP(#REF!,'[1]01'!$B$7:$V$257,4,0),0)</f>
        <v>0</v>
      </c>
      <c r="E53" s="26">
        <f>IFERROR(VLOOKUP(#REF!,'[1]01'!$B$7:$V$257,5,0),0)</f>
        <v>0</v>
      </c>
      <c r="F53" s="27">
        <f t="shared" si="7"/>
        <v>0</v>
      </c>
      <c r="G53" s="26">
        <f>IFERROR(VLOOKUP(#REF!,'[1]01'!$B$7:$V$257,7,0),0)</f>
        <v>0</v>
      </c>
      <c r="H53" s="25"/>
      <c r="I53" s="26">
        <f>IFERROR(VLOOKUP(#REF!,'[1]01'!$B$7:$V$257,8,0),0)</f>
        <v>0</v>
      </c>
      <c r="J53" s="26">
        <f>IFERROR(VLOOKUP(#REF!,'[1]01'!$B$7:$V$257,9,0),0)</f>
        <v>0</v>
      </c>
      <c r="K53" s="28">
        <f t="shared" ref="K53:K67" si="11">G53*D53+I53*D53+J53*D53</f>
        <v>0</v>
      </c>
      <c r="L53" s="29">
        <f>IFERROR(VLOOKUP(#REF!,'[1]01'!$B$7:$V$257,11,0),0)</f>
        <v>0</v>
      </c>
      <c r="M53" s="28">
        <f t="shared" si="1"/>
        <v>0</v>
      </c>
      <c r="N53" s="26">
        <f>IFERROR(VLOOKUP(#REF!,'[1]01'!$B$7:$V$257,13,0),0)</f>
        <v>0</v>
      </c>
      <c r="O53" s="27">
        <f t="shared" si="2"/>
        <v>0</v>
      </c>
      <c r="P53" s="26">
        <f>IFERROR(VLOOKUP(#REF!,'[1]01'!$B$7:$V$257,15,0),0)</f>
        <v>0</v>
      </c>
      <c r="Q53" s="27">
        <f t="shared" si="8"/>
        <v>0</v>
      </c>
      <c r="R53" s="30">
        <f t="shared" si="9"/>
        <v>0</v>
      </c>
      <c r="S53" s="27">
        <f t="shared" si="10"/>
        <v>0</v>
      </c>
      <c r="T53" s="36"/>
      <c r="U53" s="37"/>
    </row>
    <row r="54" spans="1:21" ht="15.6" x14ac:dyDescent="0.3">
      <c r="A54" s="22">
        <v>48</v>
      </c>
      <c r="B54" s="23">
        <f>IFERROR(VLOOKUP(#REF!,'[1]01'!$B$7:$V$257,2,0),0)</f>
        <v>0</v>
      </c>
      <c r="C54" s="24">
        <f>IFERROR(VLOOKUP(#REF!,'[1]01'!$B$7:$V$257,3,0),0)</f>
        <v>0</v>
      </c>
      <c r="D54" s="25">
        <f>IFERROR(VLOOKUP(#REF!,'[1]01'!$B$7:$V$257,4,0),0)</f>
        <v>0</v>
      </c>
      <c r="E54" s="26">
        <f>IFERROR(VLOOKUP(#REF!,'[1]01'!$B$7:$V$257,5,0),0)</f>
        <v>0</v>
      </c>
      <c r="F54" s="27">
        <f t="shared" si="7"/>
        <v>0</v>
      </c>
      <c r="G54" s="26">
        <f>IFERROR(VLOOKUP(#REF!,'[1]01'!$B$7:$V$257,7,0),0)</f>
        <v>0</v>
      </c>
      <c r="H54" s="25"/>
      <c r="I54" s="26">
        <f>IFERROR(VLOOKUP(#REF!,'[1]01'!$B$7:$V$257,8,0),0)</f>
        <v>0</v>
      </c>
      <c r="J54" s="26">
        <f>IFERROR(VLOOKUP(#REF!,'[1]01'!$B$7:$V$257,9,0),0)</f>
        <v>0</v>
      </c>
      <c r="K54" s="28">
        <f t="shared" si="11"/>
        <v>0</v>
      </c>
      <c r="L54" s="29">
        <f>IFERROR(VLOOKUP(#REF!,'[1]01'!$B$7:$V$257,11,0),0)</f>
        <v>0</v>
      </c>
      <c r="M54" s="28">
        <f t="shared" si="1"/>
        <v>0</v>
      </c>
      <c r="N54" s="26">
        <f>IFERROR(VLOOKUP(#REF!,'[1]01'!$B$7:$V$257,13,0),0)</f>
        <v>0</v>
      </c>
      <c r="O54" s="27">
        <f t="shared" si="2"/>
        <v>0</v>
      </c>
      <c r="P54" s="26">
        <f>IFERROR(VLOOKUP(#REF!,'[1]01'!$B$7:$V$257,15,0),0)</f>
        <v>0</v>
      </c>
      <c r="Q54" s="27">
        <f t="shared" si="8"/>
        <v>0</v>
      </c>
      <c r="R54" s="30">
        <f t="shared" si="9"/>
        <v>0</v>
      </c>
      <c r="S54" s="27">
        <f t="shared" si="10"/>
        <v>0</v>
      </c>
      <c r="T54" s="36"/>
      <c r="U54" s="37"/>
    </row>
    <row r="55" spans="1:21" ht="15.6" x14ac:dyDescent="0.3">
      <c r="A55" s="22">
        <v>49</v>
      </c>
      <c r="B55" s="23">
        <f>IFERROR(VLOOKUP(#REF!,'[1]01'!$B$7:$V$257,2,0),0)</f>
        <v>0</v>
      </c>
      <c r="C55" s="24">
        <f>IFERROR(VLOOKUP(#REF!,'[1]01'!$B$7:$V$257,3,0),0)</f>
        <v>0</v>
      </c>
      <c r="D55" s="25">
        <f>IFERROR(VLOOKUP(#REF!,'[1]01'!$B$7:$V$257,4,0),0)</f>
        <v>0</v>
      </c>
      <c r="E55" s="26">
        <f>IFERROR(VLOOKUP(#REF!,'[1]01'!$B$7:$V$257,5,0),0)</f>
        <v>0</v>
      </c>
      <c r="F55" s="27">
        <f t="shared" si="7"/>
        <v>0</v>
      </c>
      <c r="G55" s="26">
        <f>IFERROR(VLOOKUP(#REF!,'[1]01'!$B$7:$V$257,7,0),0)</f>
        <v>0</v>
      </c>
      <c r="H55" s="25"/>
      <c r="I55" s="26">
        <f>IFERROR(VLOOKUP(#REF!,'[1]01'!$B$7:$V$257,8,0),0)</f>
        <v>0</v>
      </c>
      <c r="J55" s="26">
        <f>IFERROR(VLOOKUP(#REF!,'[1]01'!$B$7:$V$257,9,0),0)</f>
        <v>0</v>
      </c>
      <c r="K55" s="28">
        <f t="shared" si="11"/>
        <v>0</v>
      </c>
      <c r="L55" s="29">
        <f>IFERROR(VLOOKUP(#REF!,'[1]01'!$B$7:$V$257,11,0),0)</f>
        <v>0</v>
      </c>
      <c r="M55" s="28">
        <f t="shared" si="1"/>
        <v>0</v>
      </c>
      <c r="N55" s="26">
        <f>IFERROR(VLOOKUP(#REF!,'[1]01'!$B$7:$V$257,13,0),0)</f>
        <v>0</v>
      </c>
      <c r="O55" s="27">
        <f t="shared" si="2"/>
        <v>0</v>
      </c>
      <c r="P55" s="26">
        <f>IFERROR(VLOOKUP(#REF!,'[1]01'!$B$7:$V$257,15,0),0)</f>
        <v>0</v>
      </c>
      <c r="Q55" s="27">
        <f t="shared" si="8"/>
        <v>0</v>
      </c>
      <c r="R55" s="30">
        <f t="shared" si="9"/>
        <v>0</v>
      </c>
      <c r="S55" s="27">
        <f t="shared" si="10"/>
        <v>0</v>
      </c>
      <c r="T55" s="36"/>
      <c r="U55" s="37"/>
    </row>
    <row r="56" spans="1:21" ht="15.6" x14ac:dyDescent="0.3">
      <c r="A56" s="22">
        <v>50</v>
      </c>
      <c r="B56" s="23">
        <f>IFERROR(VLOOKUP(#REF!,'[1]01'!$B$7:$V$257,2,0),0)</f>
        <v>0</v>
      </c>
      <c r="C56" s="24">
        <f>IFERROR(VLOOKUP(#REF!,'[1]01'!$B$7:$V$257,3,0),0)</f>
        <v>0</v>
      </c>
      <c r="D56" s="25">
        <f>IFERROR(VLOOKUP(#REF!,'[1]01'!$B$7:$V$257,4,0),0)</f>
        <v>0</v>
      </c>
      <c r="E56" s="26">
        <f>IFERROR(VLOOKUP(#REF!,'[1]01'!$B$7:$V$257,5,0),0)</f>
        <v>0</v>
      </c>
      <c r="F56" s="27">
        <f t="shared" si="7"/>
        <v>0</v>
      </c>
      <c r="G56" s="26">
        <f>IFERROR(VLOOKUP(#REF!,'[1]01'!$B$7:$V$257,7,0),0)</f>
        <v>0</v>
      </c>
      <c r="H56" s="25"/>
      <c r="I56" s="26">
        <f>IFERROR(VLOOKUP(#REF!,'[1]01'!$B$7:$V$257,8,0),0)</f>
        <v>0</v>
      </c>
      <c r="J56" s="26">
        <f>IFERROR(VLOOKUP(#REF!,'[1]01'!$B$7:$V$257,9,0),0)</f>
        <v>0</v>
      </c>
      <c r="K56" s="28">
        <f t="shared" si="11"/>
        <v>0</v>
      </c>
      <c r="L56" s="29">
        <f>IFERROR(VLOOKUP(#REF!,'[1]01'!$B$7:$V$257,11,0),0)</f>
        <v>0</v>
      </c>
      <c r="M56" s="28">
        <f t="shared" si="1"/>
        <v>0</v>
      </c>
      <c r="N56" s="26">
        <f>IFERROR(VLOOKUP(#REF!,'[1]01'!$B$7:$V$257,13,0),0)</f>
        <v>0</v>
      </c>
      <c r="O56" s="27">
        <f t="shared" si="2"/>
        <v>0</v>
      </c>
      <c r="P56" s="26">
        <f>IFERROR(VLOOKUP(#REF!,'[1]01'!$B$7:$V$257,15,0),0)</f>
        <v>0</v>
      </c>
      <c r="Q56" s="27">
        <f t="shared" si="8"/>
        <v>0</v>
      </c>
      <c r="R56" s="30">
        <f t="shared" si="9"/>
        <v>0</v>
      </c>
      <c r="S56" s="27">
        <f t="shared" si="10"/>
        <v>0</v>
      </c>
      <c r="T56" s="36"/>
      <c r="U56" s="37"/>
    </row>
    <row r="57" spans="1:21" ht="15.6" x14ac:dyDescent="0.3">
      <c r="A57" s="22">
        <v>51</v>
      </c>
      <c r="B57" s="23">
        <f>IFERROR(VLOOKUP(#REF!,'[1]01'!$B$7:$V$257,2,0),0)</f>
        <v>0</v>
      </c>
      <c r="C57" s="24">
        <f>IFERROR(VLOOKUP(#REF!,'[1]01'!$B$7:$V$257,3,0),0)</f>
        <v>0</v>
      </c>
      <c r="D57" s="25">
        <f>IFERROR(VLOOKUP(#REF!,'[1]01'!$B$7:$V$257,4,0),0)</f>
        <v>0</v>
      </c>
      <c r="E57" s="26">
        <f>IFERROR(VLOOKUP(#REF!,'[1]01'!$B$7:$V$257,5,0),0)</f>
        <v>0</v>
      </c>
      <c r="F57" s="27">
        <f t="shared" si="7"/>
        <v>0</v>
      </c>
      <c r="G57" s="26">
        <f>IFERROR(VLOOKUP(#REF!,'[1]01'!$B$7:$V$257,7,0),0)</f>
        <v>0</v>
      </c>
      <c r="H57" s="25"/>
      <c r="I57" s="26">
        <f>IFERROR(VLOOKUP(#REF!,'[1]01'!$B$7:$V$257,8,0),0)</f>
        <v>0</v>
      </c>
      <c r="J57" s="26">
        <f>IFERROR(VLOOKUP(#REF!,'[1]01'!$B$7:$V$257,9,0),0)</f>
        <v>0</v>
      </c>
      <c r="K57" s="28">
        <f t="shared" si="11"/>
        <v>0</v>
      </c>
      <c r="L57" s="29">
        <f>IFERROR(VLOOKUP(#REF!,'[1]01'!$B$7:$V$257,11,0),0)</f>
        <v>0</v>
      </c>
      <c r="M57" s="28">
        <f t="shared" si="1"/>
        <v>0</v>
      </c>
      <c r="N57" s="26">
        <f>IFERROR(VLOOKUP(#REF!,'[1]01'!$B$7:$V$257,13,0),0)</f>
        <v>0</v>
      </c>
      <c r="O57" s="27">
        <f t="shared" si="2"/>
        <v>0</v>
      </c>
      <c r="P57" s="26">
        <f>IFERROR(VLOOKUP(#REF!,'[1]01'!$B$7:$V$257,15,0),0)</f>
        <v>0</v>
      </c>
      <c r="Q57" s="27">
        <f t="shared" si="8"/>
        <v>0</v>
      </c>
      <c r="R57" s="30">
        <f t="shared" si="9"/>
        <v>0</v>
      </c>
      <c r="S57" s="27">
        <f t="shared" si="10"/>
        <v>0</v>
      </c>
      <c r="T57" s="36"/>
      <c r="U57" s="37"/>
    </row>
    <row r="58" spans="1:21" ht="15.6" x14ac:dyDescent="0.3">
      <c r="A58" s="22">
        <v>52</v>
      </c>
      <c r="B58" s="23"/>
      <c r="C58" s="24">
        <f>IFERROR(VLOOKUP(#REF!,'[1]01'!$B$7:$V$257,3,0),0)</f>
        <v>0</v>
      </c>
      <c r="D58" s="25">
        <f>IFERROR(VLOOKUP(#REF!,'[1]01'!$B$7:$V$257,4,0),0)</f>
        <v>0</v>
      </c>
      <c r="E58" s="26">
        <f>IFERROR(VLOOKUP(#REF!,'[1]01'!$B$7:$V$257,5,0),0)</f>
        <v>0</v>
      </c>
      <c r="F58" s="27">
        <f t="shared" si="7"/>
        <v>0</v>
      </c>
      <c r="G58" s="26">
        <f>IFERROR(VLOOKUP(#REF!,'[1]01'!$B$7:$V$257,7,0),0)</f>
        <v>0</v>
      </c>
      <c r="H58" s="25"/>
      <c r="I58" s="26">
        <f>IFERROR(VLOOKUP(#REF!,'[1]01'!$B$7:$V$257,8,0),0)</f>
        <v>0</v>
      </c>
      <c r="J58" s="26">
        <f>IFERROR(VLOOKUP(#REF!,'[1]01'!$B$7:$V$257,9,0),0)</f>
        <v>0</v>
      </c>
      <c r="K58" s="28">
        <f t="shared" si="11"/>
        <v>0</v>
      </c>
      <c r="L58" s="29">
        <f>IFERROR(VLOOKUP(#REF!,'[1]01'!$B$7:$V$257,11,0),0)</f>
        <v>0</v>
      </c>
      <c r="M58" s="28">
        <f t="shared" si="1"/>
        <v>0</v>
      </c>
      <c r="N58" s="26">
        <f>IFERROR(VLOOKUP(#REF!,'[1]01'!$B$7:$V$257,13,0),0)</f>
        <v>0</v>
      </c>
      <c r="O58" s="27">
        <f t="shared" si="2"/>
        <v>0</v>
      </c>
      <c r="P58" s="26">
        <f>IFERROR(VLOOKUP(#REF!,'[1]01'!$B$7:$V$257,15,0),0)</f>
        <v>0</v>
      </c>
      <c r="Q58" s="27">
        <f t="shared" si="8"/>
        <v>0</v>
      </c>
      <c r="R58" s="30">
        <f t="shared" si="9"/>
        <v>0</v>
      </c>
      <c r="S58" s="27">
        <f t="shared" si="10"/>
        <v>0</v>
      </c>
      <c r="T58" s="36" t="s">
        <v>45</v>
      </c>
      <c r="U58" s="37"/>
    </row>
    <row r="59" spans="1:21" ht="15.6" x14ac:dyDescent="0.3">
      <c r="A59" s="22">
        <v>53</v>
      </c>
      <c r="B59" s="23">
        <f>IFERROR(VLOOKUP(#REF!,'[1]01'!$B$7:$V$257,2,0),0)</f>
        <v>0</v>
      </c>
      <c r="C59" s="24">
        <f>IFERROR(VLOOKUP(#REF!,'[1]01'!$B$7:$V$257,3,0),0)</f>
        <v>0</v>
      </c>
      <c r="D59" s="25">
        <f>IFERROR(VLOOKUP(#REF!,'[1]01'!$B$7:$V$257,4,0),0)</f>
        <v>0</v>
      </c>
      <c r="E59" s="26">
        <f>IFERROR(VLOOKUP(#REF!,'[1]01'!$B$7:$V$257,5,0),0)</f>
        <v>0</v>
      </c>
      <c r="F59" s="27">
        <f t="shared" si="7"/>
        <v>0</v>
      </c>
      <c r="G59" s="26">
        <f>IFERROR(VLOOKUP(#REF!,'[1]01'!$B$7:$V$257,7,0),0)</f>
        <v>0</v>
      </c>
      <c r="H59" s="25"/>
      <c r="I59" s="26">
        <f>IFERROR(VLOOKUP(#REF!,'[1]01'!$B$7:$V$257,8,0),0)</f>
        <v>0</v>
      </c>
      <c r="J59" s="26">
        <f>IFERROR(VLOOKUP(#REF!,'[1]01'!$B$7:$V$257,9,0),0)</f>
        <v>0</v>
      </c>
      <c r="K59" s="28">
        <f t="shared" si="11"/>
        <v>0</v>
      </c>
      <c r="L59" s="29">
        <f>IFERROR(VLOOKUP(#REF!,'[1]01'!$B$7:$V$257,11,0),0)</f>
        <v>0</v>
      </c>
      <c r="M59" s="28">
        <f t="shared" si="1"/>
        <v>0</v>
      </c>
      <c r="N59" s="26">
        <f>IFERROR(VLOOKUP(#REF!,'[1]01'!$B$7:$V$257,13,0),0)</f>
        <v>0</v>
      </c>
      <c r="O59" s="27">
        <f t="shared" si="2"/>
        <v>0</v>
      </c>
      <c r="P59" s="26">
        <f>IFERROR(VLOOKUP(#REF!,'[1]01'!$B$7:$V$257,15,0),0)</f>
        <v>0</v>
      </c>
      <c r="Q59" s="27">
        <f t="shared" si="8"/>
        <v>0</v>
      </c>
      <c r="R59" s="30">
        <f t="shared" si="9"/>
        <v>0</v>
      </c>
      <c r="S59" s="27">
        <f t="shared" si="10"/>
        <v>0</v>
      </c>
      <c r="T59" s="36"/>
      <c r="U59" s="37"/>
    </row>
    <row r="60" spans="1:21" ht="15.6" x14ac:dyDescent="0.3">
      <c r="A60" s="22">
        <v>54</v>
      </c>
      <c r="B60" s="23">
        <f>IFERROR(VLOOKUP(#REF!,'[1]01'!$B$7:$V$257,2,0),0)</f>
        <v>0</v>
      </c>
      <c r="C60" s="24">
        <f>IFERROR(VLOOKUP(#REF!,'[1]01'!$B$7:$V$257,3,0),0)</f>
        <v>0</v>
      </c>
      <c r="D60" s="25">
        <f>IFERROR(VLOOKUP(#REF!,'[1]01'!$B$7:$V$257,4,0),0)</f>
        <v>0</v>
      </c>
      <c r="E60" s="26">
        <f>IFERROR(VLOOKUP(#REF!,'[1]01'!$B$7:$V$257,5,0),0)</f>
        <v>0</v>
      </c>
      <c r="F60" s="27">
        <f t="shared" si="7"/>
        <v>0</v>
      </c>
      <c r="G60" s="26">
        <f>IFERROR(VLOOKUP(#REF!,'[1]01'!$B$7:$V$257,7,0),0)</f>
        <v>0</v>
      </c>
      <c r="H60" s="25"/>
      <c r="I60" s="26">
        <f>IFERROR(VLOOKUP(#REF!,'[1]01'!$B$7:$V$257,8,0),0)</f>
        <v>0</v>
      </c>
      <c r="J60" s="26">
        <f>IFERROR(VLOOKUP(#REF!,'[1]01'!$B$7:$V$257,9,0),0)</f>
        <v>0</v>
      </c>
      <c r="K60" s="28">
        <f t="shared" si="11"/>
        <v>0</v>
      </c>
      <c r="L60" s="29">
        <f>IFERROR(VLOOKUP(#REF!,'[1]01'!$B$7:$V$257,11,0),0)</f>
        <v>0</v>
      </c>
      <c r="M60" s="28">
        <f t="shared" si="1"/>
        <v>0</v>
      </c>
      <c r="N60" s="26">
        <f>IFERROR(VLOOKUP(#REF!,'[1]01'!$B$7:$V$257,13,0),0)</f>
        <v>0</v>
      </c>
      <c r="O60" s="27">
        <f t="shared" si="2"/>
        <v>0</v>
      </c>
      <c r="P60" s="26">
        <f>IFERROR(VLOOKUP(#REF!,'[1]01'!$B$7:$V$257,15,0),0)</f>
        <v>0</v>
      </c>
      <c r="Q60" s="27">
        <f t="shared" si="8"/>
        <v>0</v>
      </c>
      <c r="R60" s="30">
        <f t="shared" si="9"/>
        <v>0</v>
      </c>
      <c r="S60" s="27">
        <f t="shared" si="10"/>
        <v>0</v>
      </c>
      <c r="T60" s="36"/>
      <c r="U60" s="37"/>
    </row>
    <row r="61" spans="1:21" ht="15.6" x14ac:dyDescent="0.3">
      <c r="A61" s="22">
        <v>55</v>
      </c>
      <c r="B61" s="23">
        <f>IFERROR(VLOOKUP(#REF!,'[1]01'!$B$7:$V$257,2,0),0)</f>
        <v>0</v>
      </c>
      <c r="C61" s="24">
        <f>IFERROR(VLOOKUP(#REF!,'[1]01'!$B$7:$V$257,3,0),0)</f>
        <v>0</v>
      </c>
      <c r="D61" s="25">
        <f>IFERROR(VLOOKUP(#REF!,'[1]01'!$B$7:$V$257,4,0),0)</f>
        <v>0</v>
      </c>
      <c r="E61" s="26">
        <f>IFERROR(VLOOKUP(#REF!,'[1]01'!$B$7:$V$257,5,0),0)</f>
        <v>0</v>
      </c>
      <c r="F61" s="27">
        <f t="shared" si="7"/>
        <v>0</v>
      </c>
      <c r="G61" s="26">
        <f>IFERROR(VLOOKUP(#REF!,'[1]01'!$B$7:$V$257,7,0),0)</f>
        <v>0</v>
      </c>
      <c r="H61" s="25"/>
      <c r="I61" s="26">
        <f>IFERROR(VLOOKUP(#REF!,'[1]01'!$B$7:$V$257,8,0),0)</f>
        <v>0</v>
      </c>
      <c r="J61" s="26">
        <f>IFERROR(VLOOKUP(#REF!,'[1]01'!$B$7:$V$257,9,0),0)</f>
        <v>0</v>
      </c>
      <c r="K61" s="28">
        <f t="shared" si="11"/>
        <v>0</v>
      </c>
      <c r="L61" s="29">
        <f>IFERROR(VLOOKUP(#REF!,'[1]01'!$B$7:$V$257,11,0),0)</f>
        <v>0</v>
      </c>
      <c r="M61" s="28">
        <f t="shared" si="1"/>
        <v>0</v>
      </c>
      <c r="N61" s="26">
        <f>IFERROR(VLOOKUP(#REF!,'[1]01'!$B$7:$V$257,13,0),0)</f>
        <v>0</v>
      </c>
      <c r="O61" s="27">
        <f t="shared" si="2"/>
        <v>0</v>
      </c>
      <c r="P61" s="26">
        <f>IFERROR(VLOOKUP(#REF!,'[1]01'!$B$7:$V$257,15,0),0)</f>
        <v>0</v>
      </c>
      <c r="Q61" s="27">
        <f t="shared" si="8"/>
        <v>0</v>
      </c>
      <c r="R61" s="30">
        <f t="shared" si="9"/>
        <v>0</v>
      </c>
      <c r="S61" s="27">
        <f t="shared" si="10"/>
        <v>0</v>
      </c>
      <c r="T61" s="36"/>
      <c r="U61" s="37"/>
    </row>
    <row r="62" spans="1:21" ht="15.6" x14ac:dyDescent="0.3">
      <c r="A62" s="22">
        <v>56</v>
      </c>
      <c r="B62" s="23">
        <f>IFERROR(VLOOKUP(#REF!,'[1]01'!$B$7:$V$257,2,0),0)</f>
        <v>0</v>
      </c>
      <c r="C62" s="24">
        <f>IFERROR(VLOOKUP(#REF!,'[1]01'!$B$7:$V$257,3,0),0)</f>
        <v>0</v>
      </c>
      <c r="D62" s="25">
        <f>IFERROR(VLOOKUP(#REF!,'[1]01'!$B$7:$V$257,4,0),0)</f>
        <v>0</v>
      </c>
      <c r="E62" s="26">
        <f>IFERROR(VLOOKUP(#REF!,'[1]01'!$B$7:$V$257,5,0),0)</f>
        <v>0</v>
      </c>
      <c r="F62" s="27">
        <f t="shared" si="7"/>
        <v>0</v>
      </c>
      <c r="G62" s="26">
        <f>IFERROR(VLOOKUP(#REF!,'[1]01'!$B$7:$V$257,7,0),0)</f>
        <v>0</v>
      </c>
      <c r="H62" s="25"/>
      <c r="I62" s="26">
        <f>IFERROR(VLOOKUP(#REF!,'[1]01'!$B$7:$V$257,8,0),0)</f>
        <v>0</v>
      </c>
      <c r="J62" s="26">
        <f>IFERROR(VLOOKUP(#REF!,'[1]01'!$B$7:$V$257,9,0),0)</f>
        <v>0</v>
      </c>
      <c r="K62" s="28">
        <f t="shared" si="11"/>
        <v>0</v>
      </c>
      <c r="L62" s="29">
        <f>IFERROR(VLOOKUP(#REF!,'[1]01'!$B$7:$V$257,11,0),0)</f>
        <v>0</v>
      </c>
      <c r="M62" s="28">
        <f t="shared" si="1"/>
        <v>0</v>
      </c>
      <c r="N62" s="26">
        <f>IFERROR(VLOOKUP(#REF!,'[1]01'!$B$7:$V$257,13,0),0)</f>
        <v>0</v>
      </c>
      <c r="O62" s="27">
        <f t="shared" si="2"/>
        <v>0</v>
      </c>
      <c r="P62" s="26">
        <f>IFERROR(VLOOKUP(#REF!,'[1]01'!$B$7:$V$257,15,0),0)</f>
        <v>0</v>
      </c>
      <c r="Q62" s="27">
        <f t="shared" si="8"/>
        <v>0</v>
      </c>
      <c r="R62" s="30">
        <f t="shared" si="9"/>
        <v>0</v>
      </c>
      <c r="S62" s="27">
        <f t="shared" si="10"/>
        <v>0</v>
      </c>
      <c r="T62" s="36"/>
      <c r="U62" s="37"/>
    </row>
    <row r="63" spans="1:21" ht="15.6" x14ac:dyDescent="0.3">
      <c r="A63" s="22">
        <v>57</v>
      </c>
      <c r="B63" s="23">
        <f>IFERROR(VLOOKUP(#REF!,'[1]01'!$B$7:$V$257,2,0),0)</f>
        <v>0</v>
      </c>
      <c r="C63" s="24">
        <f>IFERROR(VLOOKUP(#REF!,'[1]01'!$B$7:$V$257,3,0),0)</f>
        <v>0</v>
      </c>
      <c r="D63" s="25">
        <f>IFERROR(VLOOKUP(#REF!,'[1]01'!$B$7:$V$257,4,0),0)</f>
        <v>0</v>
      </c>
      <c r="E63" s="26">
        <f>IFERROR(VLOOKUP(#REF!,'[1]01'!$B$7:$V$257,5,0),0)</f>
        <v>0</v>
      </c>
      <c r="F63" s="27">
        <f t="shared" si="7"/>
        <v>0</v>
      </c>
      <c r="G63" s="26">
        <f>IFERROR(VLOOKUP(#REF!,'[1]01'!$B$7:$V$257,7,0),0)</f>
        <v>0</v>
      </c>
      <c r="H63" s="25"/>
      <c r="I63" s="26">
        <f>IFERROR(VLOOKUP(#REF!,'[1]01'!$B$7:$V$257,8,0),0)</f>
        <v>0</v>
      </c>
      <c r="J63" s="26">
        <f>IFERROR(VLOOKUP(#REF!,'[1]01'!$B$7:$V$257,9,0),0)</f>
        <v>0</v>
      </c>
      <c r="K63" s="28">
        <f t="shared" si="11"/>
        <v>0</v>
      </c>
      <c r="L63" s="29">
        <f>IFERROR(VLOOKUP(#REF!,'[1]01'!$B$7:$V$257,11,0),0)</f>
        <v>0</v>
      </c>
      <c r="M63" s="28">
        <f t="shared" si="1"/>
        <v>0</v>
      </c>
      <c r="N63" s="26">
        <f>IFERROR(VLOOKUP(#REF!,'[1]01'!$B$7:$V$257,13,0),0)</f>
        <v>0</v>
      </c>
      <c r="O63" s="27">
        <f t="shared" si="2"/>
        <v>0</v>
      </c>
      <c r="P63" s="26">
        <f>IFERROR(VLOOKUP(#REF!,'[1]01'!$B$7:$V$257,15,0),0)</f>
        <v>0</v>
      </c>
      <c r="Q63" s="27">
        <f t="shared" si="8"/>
        <v>0</v>
      </c>
      <c r="R63" s="30">
        <f t="shared" si="9"/>
        <v>0</v>
      </c>
      <c r="S63" s="27">
        <f t="shared" si="10"/>
        <v>0</v>
      </c>
      <c r="T63" s="36"/>
      <c r="U63" s="37"/>
    </row>
    <row r="64" spans="1:21" ht="15.6" x14ac:dyDescent="0.3">
      <c r="A64" s="22">
        <v>58</v>
      </c>
      <c r="B64" s="23">
        <f>IFERROR(VLOOKUP(#REF!,'[1]01'!$B$7:$V$257,2,0),0)</f>
        <v>0</v>
      </c>
      <c r="C64" s="24">
        <f>IFERROR(VLOOKUP(#REF!,'[1]01'!$B$7:$V$257,3,0),0)</f>
        <v>0</v>
      </c>
      <c r="D64" s="25">
        <f>IFERROR(VLOOKUP(#REF!,'[1]01'!$B$7:$V$257,4,0),0)</f>
        <v>0</v>
      </c>
      <c r="E64" s="26">
        <f>IFERROR(VLOOKUP(#REF!,'[1]01'!$B$7:$V$257,5,0),0)</f>
        <v>0</v>
      </c>
      <c r="F64" s="27">
        <f t="shared" si="7"/>
        <v>0</v>
      </c>
      <c r="G64" s="26">
        <f>IFERROR(VLOOKUP(#REF!,'[1]01'!$B$7:$V$257,7,0),0)</f>
        <v>0</v>
      </c>
      <c r="H64" s="25"/>
      <c r="I64" s="26">
        <f>IFERROR(VLOOKUP(#REF!,'[1]01'!$B$7:$V$257,8,0),0)</f>
        <v>0</v>
      </c>
      <c r="J64" s="26">
        <f>IFERROR(VLOOKUP(#REF!,'[1]01'!$B$7:$V$257,9,0),0)</f>
        <v>0</v>
      </c>
      <c r="K64" s="28">
        <f t="shared" si="11"/>
        <v>0</v>
      </c>
      <c r="L64" s="29">
        <f>IFERROR(VLOOKUP(#REF!,'[1]01'!$B$7:$V$257,11,0),0)</f>
        <v>0</v>
      </c>
      <c r="M64" s="28">
        <f t="shared" si="1"/>
        <v>0</v>
      </c>
      <c r="N64" s="26">
        <f>IFERROR(VLOOKUP(#REF!,'[1]01'!$B$7:$V$257,13,0),0)</f>
        <v>0</v>
      </c>
      <c r="O64" s="27">
        <f t="shared" si="2"/>
        <v>0</v>
      </c>
      <c r="P64" s="26">
        <f>IFERROR(VLOOKUP(#REF!,'[1]01'!$B$7:$V$257,15,0),0)</f>
        <v>0</v>
      </c>
      <c r="Q64" s="27">
        <f t="shared" si="8"/>
        <v>0</v>
      </c>
      <c r="R64" s="30">
        <f t="shared" si="9"/>
        <v>0</v>
      </c>
      <c r="S64" s="27">
        <f t="shared" si="10"/>
        <v>0</v>
      </c>
      <c r="T64" s="36"/>
      <c r="U64" s="37"/>
    </row>
    <row r="65" spans="1:21" ht="15.6" x14ac:dyDescent="0.3">
      <c r="A65" s="22">
        <v>59</v>
      </c>
      <c r="B65" s="23">
        <f>IFERROR(VLOOKUP(#REF!,'[1]01'!$B$7:$V$257,2,0),0)</f>
        <v>0</v>
      </c>
      <c r="C65" s="24">
        <f>IFERROR(VLOOKUP(#REF!,'[1]01'!$B$7:$V$257,3,0),0)</f>
        <v>0</v>
      </c>
      <c r="D65" s="25">
        <f>IFERROR(VLOOKUP(#REF!,'[1]01'!$B$7:$V$257,4,0),0)</f>
        <v>0</v>
      </c>
      <c r="E65" s="26">
        <f>IFERROR(VLOOKUP(#REF!,'[1]01'!$B$7:$V$257,5,0),0)</f>
        <v>0</v>
      </c>
      <c r="F65" s="27">
        <f t="shared" si="7"/>
        <v>0</v>
      </c>
      <c r="G65" s="26">
        <f>IFERROR(VLOOKUP(#REF!,'[1]01'!$B$7:$V$257,7,0),0)</f>
        <v>0</v>
      </c>
      <c r="H65" s="25"/>
      <c r="I65" s="26">
        <f>IFERROR(VLOOKUP(#REF!,'[1]01'!$B$7:$V$257,8,0),0)</f>
        <v>0</v>
      </c>
      <c r="J65" s="26">
        <f>IFERROR(VLOOKUP(#REF!,'[1]01'!$B$7:$V$257,9,0),0)</f>
        <v>0</v>
      </c>
      <c r="K65" s="28">
        <f t="shared" si="11"/>
        <v>0</v>
      </c>
      <c r="L65" s="29">
        <f>IFERROR(VLOOKUP(#REF!,'[1]01'!$B$7:$V$257,11,0),0)</f>
        <v>0</v>
      </c>
      <c r="M65" s="28">
        <f t="shared" si="1"/>
        <v>0</v>
      </c>
      <c r="N65" s="26">
        <f>IFERROR(VLOOKUP(#REF!,'[1]01'!$B$7:$V$257,13,0),0)</f>
        <v>0</v>
      </c>
      <c r="O65" s="27">
        <f t="shared" si="2"/>
        <v>0</v>
      </c>
      <c r="P65" s="26">
        <f>IFERROR(VLOOKUP(#REF!,'[1]01'!$B$7:$V$257,15,0),0)</f>
        <v>0</v>
      </c>
      <c r="Q65" s="27">
        <f t="shared" si="8"/>
        <v>0</v>
      </c>
      <c r="R65" s="30">
        <f t="shared" si="9"/>
        <v>0</v>
      </c>
      <c r="S65" s="27">
        <f t="shared" si="10"/>
        <v>0</v>
      </c>
      <c r="T65" s="36"/>
      <c r="U65" s="37"/>
    </row>
    <row r="66" spans="1:21" ht="15.6" x14ac:dyDescent="0.3">
      <c r="A66" s="22">
        <v>60</v>
      </c>
      <c r="B66" s="23">
        <f>IFERROR(VLOOKUP(#REF!,'[1]01'!$B$7:$V$257,2,0),0)</f>
        <v>0</v>
      </c>
      <c r="C66" s="24">
        <f>IFERROR(VLOOKUP(#REF!,'[1]01'!$B$7:$V$257,3,0),0)</f>
        <v>0</v>
      </c>
      <c r="D66" s="25">
        <f>IFERROR(VLOOKUP(#REF!,'[1]01'!$B$7:$V$257,4,0),0)</f>
        <v>0</v>
      </c>
      <c r="E66" s="26">
        <f>IFERROR(VLOOKUP(#REF!,'[1]01'!$B$7:$V$257,5,0),0)</f>
        <v>0</v>
      </c>
      <c r="F66" s="27">
        <f t="shared" si="7"/>
        <v>0</v>
      </c>
      <c r="G66" s="26">
        <f>IFERROR(VLOOKUP(#REF!,'[1]01'!$B$7:$V$257,7,0),0)</f>
        <v>0</v>
      </c>
      <c r="H66" s="25"/>
      <c r="I66" s="26">
        <f>IFERROR(VLOOKUP(#REF!,'[1]01'!$B$7:$V$257,8,0),0)</f>
        <v>0</v>
      </c>
      <c r="J66" s="26">
        <f>IFERROR(VLOOKUP(#REF!,'[1]01'!$B$7:$V$257,9,0),0)</f>
        <v>0</v>
      </c>
      <c r="K66" s="28">
        <f t="shared" si="11"/>
        <v>0</v>
      </c>
      <c r="L66" s="29">
        <f>IFERROR(VLOOKUP(#REF!,'[1]01'!$B$7:$V$257,11,0),0)</f>
        <v>0</v>
      </c>
      <c r="M66" s="28">
        <f t="shared" si="1"/>
        <v>0</v>
      </c>
      <c r="N66" s="26">
        <f>IFERROR(VLOOKUP(#REF!,'[1]01'!$B$7:$V$257,13,0),0)</f>
        <v>0</v>
      </c>
      <c r="O66" s="27">
        <f t="shared" si="2"/>
        <v>0</v>
      </c>
      <c r="P66" s="26">
        <f>IFERROR(VLOOKUP(#REF!,'[1]01'!$B$7:$V$257,15,0),0)</f>
        <v>0</v>
      </c>
      <c r="Q66" s="27">
        <f t="shared" si="8"/>
        <v>0</v>
      </c>
      <c r="R66" s="30">
        <f t="shared" si="9"/>
        <v>0</v>
      </c>
      <c r="S66" s="27">
        <f t="shared" si="10"/>
        <v>0</v>
      </c>
      <c r="T66" s="36"/>
      <c r="U66" s="37"/>
    </row>
    <row r="67" spans="1:21" ht="15.6" x14ac:dyDescent="0.3">
      <c r="A67" s="22">
        <v>61</v>
      </c>
      <c r="B67" s="23">
        <f>IFERROR(VLOOKUP(#REF!,'[1]01'!$B$7:$V$257,2,0),0)</f>
        <v>0</v>
      </c>
      <c r="C67" s="24">
        <f>IFERROR(VLOOKUP(#REF!,'[1]01'!$B$7:$V$257,3,0),0)</f>
        <v>0</v>
      </c>
      <c r="D67" s="25">
        <f>IFERROR(VLOOKUP(#REF!,'[1]01'!$B$7:$V$257,4,0),0)</f>
        <v>0</v>
      </c>
      <c r="E67" s="26">
        <f>IFERROR(VLOOKUP(#REF!,'[1]01'!$B$7:$V$257,5,0),0)</f>
        <v>0</v>
      </c>
      <c r="F67" s="27">
        <f t="shared" si="7"/>
        <v>0</v>
      </c>
      <c r="G67" s="26">
        <f>IFERROR(VLOOKUP(#REF!,'[1]01'!$B$7:$V$257,7,0),0)</f>
        <v>0</v>
      </c>
      <c r="H67" s="25"/>
      <c r="I67" s="26">
        <f>IFERROR(VLOOKUP(#REF!,'[1]01'!$B$7:$V$257,8,0),0)</f>
        <v>0</v>
      </c>
      <c r="J67" s="26">
        <f>IFERROR(VLOOKUP(#REF!,'[1]01'!$B$7:$V$257,9,0),0)</f>
        <v>0</v>
      </c>
      <c r="K67" s="28">
        <f t="shared" si="11"/>
        <v>0</v>
      </c>
      <c r="L67" s="29">
        <f>IFERROR(VLOOKUP(#REF!,'[1]01'!$B$7:$V$257,11,0),0)</f>
        <v>0</v>
      </c>
      <c r="M67" s="28">
        <f t="shared" si="1"/>
        <v>0</v>
      </c>
      <c r="N67" s="26">
        <f>IFERROR(VLOOKUP(#REF!,'[1]01'!$B$7:$V$257,13,0),0)</f>
        <v>0</v>
      </c>
      <c r="O67" s="27">
        <f t="shared" si="2"/>
        <v>0</v>
      </c>
      <c r="P67" s="26">
        <f>IFERROR(VLOOKUP(#REF!,'[1]01'!$B$7:$V$257,15,0),0)</f>
        <v>0</v>
      </c>
      <c r="Q67" s="27">
        <f t="shared" si="8"/>
        <v>0</v>
      </c>
      <c r="R67" s="30">
        <f t="shared" si="9"/>
        <v>0</v>
      </c>
      <c r="S67" s="27">
        <f t="shared" si="10"/>
        <v>0</v>
      </c>
      <c r="T67" s="36"/>
      <c r="U67" s="37"/>
    </row>
    <row r="68" spans="1:21" ht="15.6" x14ac:dyDescent="0.3">
      <c r="A68" s="22">
        <v>62</v>
      </c>
      <c r="B68" s="23">
        <f>IFERROR(VLOOKUP(#REF!,'[1]01'!$B$7:$V$257,2,0),0)</f>
        <v>0</v>
      </c>
      <c r="C68" s="24">
        <f>IFERROR(VLOOKUP(#REF!,'[1]01'!$B$7:$V$257,3,0),0)</f>
        <v>0</v>
      </c>
      <c r="D68" s="25">
        <f>IFERROR(VLOOKUP(#REF!,'[1]01'!$B$7:$V$257,4,0),0)</f>
        <v>0</v>
      </c>
      <c r="E68" s="26">
        <f>IFERROR(VLOOKUP(#REF!,'[1]01'!$B$7:$V$257,5,0),0)</f>
        <v>0</v>
      </c>
      <c r="F68" s="27">
        <f>D68*E68</f>
        <v>0</v>
      </c>
      <c r="G68" s="26">
        <f>IFERROR(VLOOKUP(#REF!,'[1]01'!$B$7:$V$257,7,0),0)</f>
        <v>0</v>
      </c>
      <c r="H68" s="25"/>
      <c r="I68" s="26">
        <f>IFERROR(VLOOKUP(#REF!,'[1]01'!$B$7:$V$257,8,0),0)</f>
        <v>0</v>
      </c>
      <c r="J68" s="26">
        <f>IFERROR(VLOOKUP(#REF!,'[1]01'!$B$7:$V$257,9,0),0)</f>
        <v>0</v>
      </c>
      <c r="K68" s="28">
        <f>G68*D68+I68*D68+J68*D68</f>
        <v>0</v>
      </c>
      <c r="L68" s="29">
        <f>IFERROR(VLOOKUP(#REF!,'[1]01'!$B$7:$V$257,11,0),0)</f>
        <v>0</v>
      </c>
      <c r="M68" s="28">
        <f>L68*D68</f>
        <v>0</v>
      </c>
      <c r="N68" s="26">
        <f>IFERROR(VLOOKUP(#REF!,'[1]01'!$B$7:$V$257,13,0),0)</f>
        <v>0</v>
      </c>
      <c r="O68" s="27">
        <f>D68*N68</f>
        <v>0</v>
      </c>
      <c r="P68" s="26">
        <f>IFERROR(VLOOKUP(#REF!,'[1]01'!$B$7:$V$257,15,0),0)</f>
        <v>0</v>
      </c>
      <c r="Q68" s="27">
        <f>D68*P68</f>
        <v>0</v>
      </c>
      <c r="R68" s="30">
        <f>N68+P68</f>
        <v>0</v>
      </c>
      <c r="S68" s="27">
        <f>R68*D68</f>
        <v>0</v>
      </c>
      <c r="T68" s="36"/>
      <c r="U68" s="37"/>
    </row>
    <row r="69" spans="1:21" ht="15.6" x14ac:dyDescent="0.3">
      <c r="A69" s="22">
        <v>63</v>
      </c>
      <c r="B69" s="23">
        <f>IFERROR(VLOOKUP(#REF!,'[1]01'!$B$7:$V$257,2,0),0)</f>
        <v>0</v>
      </c>
      <c r="C69" s="24">
        <f>IFERROR(VLOOKUP(#REF!,'[1]01'!$B$7:$V$257,3,0),0)</f>
        <v>0</v>
      </c>
      <c r="D69" s="25">
        <f>IFERROR(VLOOKUP(#REF!,'[1]01'!$B$7:$V$257,4,0),0)</f>
        <v>0</v>
      </c>
      <c r="E69" s="26">
        <f>IFERROR(VLOOKUP(#REF!,'[1]01'!$B$7:$V$257,5,0),0)</f>
        <v>0</v>
      </c>
      <c r="F69" s="27">
        <f>D69*E69</f>
        <v>0</v>
      </c>
      <c r="G69" s="26">
        <f>IFERROR(VLOOKUP(#REF!,'[1]01'!$B$7:$V$257,7,0),0)</f>
        <v>0</v>
      </c>
      <c r="H69" s="25"/>
      <c r="I69" s="26">
        <f>IFERROR(VLOOKUP(#REF!,'[1]01'!$B$7:$V$257,8,0),0)</f>
        <v>0</v>
      </c>
      <c r="J69" s="26">
        <f>IFERROR(VLOOKUP(#REF!,'[1]01'!$B$7:$V$257,9,0),0)</f>
        <v>0</v>
      </c>
      <c r="K69" s="28">
        <f>G69*D69+I69*D69+J69*D69</f>
        <v>0</v>
      </c>
      <c r="L69" s="29">
        <f>IFERROR(VLOOKUP(#REF!,'[1]01'!$B$7:$V$257,11,0),0)</f>
        <v>0</v>
      </c>
      <c r="M69" s="28">
        <f>L69*D69</f>
        <v>0</v>
      </c>
      <c r="N69" s="26">
        <f>IFERROR(VLOOKUP(#REF!,'[1]01'!$B$7:$V$257,13,0),0)</f>
        <v>0</v>
      </c>
      <c r="O69" s="27">
        <f>D69*N69</f>
        <v>0</v>
      </c>
      <c r="P69" s="26">
        <f>IFERROR(VLOOKUP(#REF!,'[1]01'!$B$7:$V$257,15,0),0)</f>
        <v>0</v>
      </c>
      <c r="Q69" s="27">
        <f>D69*P69</f>
        <v>0</v>
      </c>
      <c r="R69" s="30">
        <f>N69+P69</f>
        <v>0</v>
      </c>
      <c r="S69" s="27">
        <f>R69*D69</f>
        <v>0</v>
      </c>
      <c r="T69" s="36"/>
      <c r="U69" s="37"/>
    </row>
    <row r="70" spans="1:21" ht="15.6" x14ac:dyDescent="0.3">
      <c r="A70" s="22">
        <v>64</v>
      </c>
      <c r="B70" s="23">
        <f>IFERROR(VLOOKUP(#REF!,'[1]01'!$B$7:$V$257,2,0),0)</f>
        <v>0</v>
      </c>
      <c r="C70" s="24">
        <f>IFERROR(VLOOKUP(#REF!,'[1]01'!$B$7:$V$257,3,0),0)</f>
        <v>0</v>
      </c>
      <c r="D70" s="25">
        <f>IFERROR(VLOOKUP(#REF!,'[1]01'!$B$7:$V$257,4,0),0)</f>
        <v>0</v>
      </c>
      <c r="E70" s="26">
        <f>IFERROR(VLOOKUP(#REF!,'[1]01'!$B$7:$V$257,5,0),0)</f>
        <v>0</v>
      </c>
      <c r="F70" s="27">
        <f>D70*E70</f>
        <v>0</v>
      </c>
      <c r="G70" s="26">
        <f>IFERROR(VLOOKUP(#REF!,'[1]01'!$B$7:$V$257,7,0),0)</f>
        <v>0</v>
      </c>
      <c r="H70" s="25"/>
      <c r="I70" s="26">
        <f>IFERROR(VLOOKUP(#REF!,'[1]01'!$B$7:$V$257,8,0),0)</f>
        <v>0</v>
      </c>
      <c r="J70" s="26">
        <f>IFERROR(VLOOKUP(#REF!,'[1]01'!$B$7:$V$257,9,0),0)</f>
        <v>0</v>
      </c>
      <c r="K70" s="28">
        <f>G70*D70+I70*D70+J70*D70</f>
        <v>0</v>
      </c>
      <c r="L70" s="29">
        <f>IFERROR(VLOOKUP(#REF!,'[1]01'!$B$7:$V$257,11,0),0)</f>
        <v>0</v>
      </c>
      <c r="M70" s="28">
        <f>L70*D70</f>
        <v>0</v>
      </c>
      <c r="N70" s="26">
        <f>IFERROR(VLOOKUP(#REF!,'[1]01'!$B$7:$V$257,13,0),0)</f>
        <v>0</v>
      </c>
      <c r="O70" s="27">
        <f>D70*N70</f>
        <v>0</v>
      </c>
      <c r="P70" s="26">
        <f>IFERROR(VLOOKUP(#REF!,'[1]01'!$B$7:$V$257,15,0),0)</f>
        <v>0</v>
      </c>
      <c r="Q70" s="27">
        <f>D70*P70</f>
        <v>0</v>
      </c>
      <c r="R70" s="30">
        <f>N70+P70</f>
        <v>0</v>
      </c>
      <c r="S70" s="27">
        <f>R70*D70</f>
        <v>0</v>
      </c>
      <c r="T70" s="36"/>
      <c r="U70" s="37"/>
    </row>
    <row r="71" spans="1:21" ht="15.6" x14ac:dyDescent="0.3">
      <c r="A71" s="57">
        <v>65</v>
      </c>
      <c r="B71" s="23">
        <f>IFERROR(VLOOKUP(#REF!,'[1]01'!$B$7:$V$257,2,0),0)</f>
        <v>0</v>
      </c>
      <c r="C71" s="24">
        <f>IFERROR(VLOOKUP(#REF!,'[1]01'!$B$7:$V$257,3,0),0)</f>
        <v>0</v>
      </c>
      <c r="D71" s="25">
        <f>IFERROR(VLOOKUP(#REF!,'[1]01'!$B$7:$V$257,4,0),0)</f>
        <v>0</v>
      </c>
      <c r="E71" s="26">
        <f>IFERROR(VLOOKUP(#REF!,'[1]01'!$B$7:$V$257,5,0),0)</f>
        <v>0</v>
      </c>
      <c r="F71" s="27">
        <f>D71*E71</f>
        <v>0</v>
      </c>
      <c r="G71" s="26">
        <f>IFERROR(VLOOKUP(#REF!,'[1]01'!$B$7:$V$257,7,0),0)</f>
        <v>0</v>
      </c>
      <c r="H71" s="25"/>
      <c r="I71" s="26">
        <f>IFERROR(VLOOKUP(#REF!,'[1]01'!$B$7:$V$257,8,0),0)</f>
        <v>0</v>
      </c>
      <c r="J71" s="26">
        <f>IFERROR(VLOOKUP(#REF!,'[1]01'!$B$7:$V$257,9,0),0)</f>
        <v>0</v>
      </c>
      <c r="K71" s="28">
        <f>G71*D71+I71*D71+J71*D71</f>
        <v>0</v>
      </c>
      <c r="L71" s="29">
        <f>IFERROR(VLOOKUP(#REF!,'[1]01'!$B$7:$V$257,11,0),0)</f>
        <v>0</v>
      </c>
      <c r="M71" s="28">
        <f>L71*D71</f>
        <v>0</v>
      </c>
      <c r="N71" s="26">
        <f>IFERROR(VLOOKUP(#REF!,'[1]01'!$B$7:$V$257,13,0),0)</f>
        <v>0</v>
      </c>
      <c r="O71" s="27">
        <f>D71*N71</f>
        <v>0</v>
      </c>
      <c r="P71" s="26">
        <f>IFERROR(VLOOKUP(#REF!,'[1]01'!$B$7:$V$257,15,0),0)</f>
        <v>0</v>
      </c>
      <c r="Q71" s="27">
        <f>D71*P71</f>
        <v>0</v>
      </c>
      <c r="R71" s="30">
        <f>N71+P71</f>
        <v>0</v>
      </c>
      <c r="S71" s="27">
        <f>R71*D71</f>
        <v>0</v>
      </c>
      <c r="T71" s="36"/>
      <c r="U71" s="37"/>
    </row>
    <row r="72" spans="1:21" x14ac:dyDescent="0.3">
      <c r="A72" s="43"/>
      <c r="B72" s="43" t="s">
        <v>46</v>
      </c>
      <c r="C72" s="43"/>
      <c r="D72" s="44"/>
      <c r="E72" s="45"/>
      <c r="F72" s="46">
        <f>SUM(F7:F71)</f>
        <v>0</v>
      </c>
      <c r="G72" s="46"/>
      <c r="H72" s="46"/>
      <c r="I72" s="46"/>
      <c r="J72" s="46"/>
      <c r="K72" s="46">
        <f ca="1">SUM(K7:K71)</f>
        <v>0</v>
      </c>
      <c r="L72" s="46"/>
      <c r="M72" s="46">
        <f ca="1">SUM(M7:M71)</f>
        <v>0</v>
      </c>
      <c r="N72" s="46"/>
      <c r="O72" s="46">
        <f ca="1">SUM(O7:O71)</f>
        <v>0</v>
      </c>
      <c r="P72" s="46">
        <f ca="1">SUM(P7:P71)</f>
        <v>0</v>
      </c>
      <c r="Q72" s="46">
        <f ca="1">SUM(Q7:Q71)</f>
        <v>0</v>
      </c>
      <c r="R72" s="46"/>
      <c r="S72" s="46">
        <f ca="1">SUM(S7:S71)</f>
        <v>0</v>
      </c>
      <c r="T72" s="66"/>
      <c r="U72" s="67"/>
    </row>
    <row r="73" spans="1:21" ht="15.6" x14ac:dyDescent="0.3">
      <c r="A73" s="47"/>
      <c r="B73" s="48"/>
      <c r="C73" s="47"/>
      <c r="D73" s="49"/>
      <c r="E73" s="50"/>
      <c r="F73" s="51"/>
      <c r="G73" s="50"/>
      <c r="H73" s="51"/>
      <c r="I73" s="50"/>
      <c r="J73" s="50"/>
      <c r="K73" s="51"/>
      <c r="L73" s="50"/>
      <c r="M73" s="51"/>
      <c r="N73" s="50"/>
      <c r="O73" s="51"/>
      <c r="P73" s="50"/>
      <c r="Q73" s="51"/>
      <c r="R73" s="50"/>
      <c r="S73" s="51"/>
      <c r="T73" s="52"/>
      <c r="U73" s="52"/>
    </row>
    <row r="74" spans="1:21" ht="17.399999999999999" x14ac:dyDescent="0.3">
      <c r="A74" s="58" t="s">
        <v>47</v>
      </c>
      <c r="B74" s="58"/>
      <c r="C74" s="58"/>
      <c r="D74" s="58"/>
      <c r="E74" s="53"/>
      <c r="F74" s="51"/>
      <c r="G74" s="59" t="s">
        <v>48</v>
      </c>
      <c r="H74" s="58"/>
      <c r="I74" s="59"/>
      <c r="J74" s="59"/>
      <c r="K74" s="58"/>
      <c r="L74" s="54"/>
      <c r="M74" s="55"/>
      <c r="N74" s="53"/>
      <c r="O74" s="56"/>
      <c r="P74" s="53"/>
      <c r="Q74" s="56"/>
      <c r="R74" s="53"/>
      <c r="S74" s="56"/>
      <c r="T74" s="58" t="s">
        <v>49</v>
      </c>
      <c r="U74" s="58"/>
    </row>
    <row r="75" spans="1:21" ht="15.6" x14ac:dyDescent="0.3">
      <c r="A75" s="47"/>
      <c r="B75" s="48"/>
      <c r="C75" s="47"/>
      <c r="D75" s="49"/>
      <c r="E75" s="50"/>
      <c r="F75" s="51"/>
      <c r="G75" s="50"/>
      <c r="H75" s="51"/>
      <c r="I75" s="50"/>
      <c r="J75" s="50"/>
      <c r="K75" s="51"/>
      <c r="L75" s="50"/>
      <c r="M75" s="51"/>
      <c r="N75" s="50"/>
      <c r="O75" s="51"/>
      <c r="P75" s="50"/>
      <c r="Q75" s="51"/>
      <c r="R75" s="50"/>
      <c r="S75" s="51"/>
      <c r="T75" s="50"/>
      <c r="U75" s="50"/>
    </row>
    <row r="76" spans="1:21" ht="15.6" x14ac:dyDescent="0.3">
      <c r="A76" s="47"/>
      <c r="B76" s="48"/>
      <c r="C76" s="47"/>
      <c r="D76" s="49"/>
      <c r="E76" s="50"/>
      <c r="F76" s="51"/>
      <c r="G76" s="50"/>
      <c r="H76" s="51"/>
      <c r="I76" s="50"/>
      <c r="J76" s="50"/>
      <c r="K76" s="51"/>
      <c r="L76" s="50"/>
      <c r="M76" s="51"/>
      <c r="N76" s="50"/>
      <c r="O76" s="51"/>
      <c r="P76" s="50"/>
      <c r="Q76" s="51"/>
      <c r="R76" s="50"/>
      <c r="S76" s="51"/>
      <c r="T76" s="50"/>
      <c r="U76" s="50"/>
    </row>
    <row r="77" spans="1:21" ht="15.6" x14ac:dyDescent="0.3">
      <c r="A77" s="47"/>
      <c r="B77" s="48"/>
      <c r="C77" s="47"/>
      <c r="D77" s="49"/>
      <c r="E77" s="50"/>
      <c r="F77" s="51"/>
      <c r="G77" s="50"/>
      <c r="H77" s="51"/>
      <c r="I77" s="50"/>
      <c r="J77" s="50"/>
      <c r="K77" s="51"/>
      <c r="L77" s="50"/>
      <c r="M77" s="51"/>
      <c r="N77" s="50"/>
      <c r="O77" s="51"/>
      <c r="P77" s="50"/>
      <c r="Q77" s="51"/>
      <c r="R77" s="50"/>
      <c r="S77" s="51"/>
      <c r="T77" s="51"/>
      <c r="U77" s="51"/>
    </row>
    <row r="78" spans="1:21" ht="17.399999999999999" x14ac:dyDescent="0.3">
      <c r="A78" s="58" t="s">
        <v>50</v>
      </c>
      <c r="B78" s="58"/>
      <c r="C78" s="58"/>
      <c r="D78" s="58"/>
      <c r="E78" s="50"/>
      <c r="F78" s="51"/>
      <c r="G78" s="59"/>
      <c r="H78" s="58"/>
      <c r="I78" s="59"/>
      <c r="J78" s="59"/>
      <c r="K78" s="58"/>
      <c r="L78" s="50"/>
      <c r="M78" s="51"/>
      <c r="N78" s="50"/>
      <c r="O78" s="51"/>
      <c r="P78" s="50"/>
      <c r="Q78" s="51"/>
      <c r="R78" s="50"/>
      <c r="S78" s="51"/>
      <c r="T78" s="58" t="s">
        <v>51</v>
      </c>
      <c r="U78" s="58"/>
    </row>
  </sheetData>
  <mergeCells count="51">
    <mergeCell ref="T1:U1"/>
    <mergeCell ref="A2:A6"/>
    <mergeCell ref="B2:B6"/>
    <mergeCell ref="C2:C6"/>
    <mergeCell ref="D2:D6"/>
    <mergeCell ref="E2:F2"/>
    <mergeCell ref="G2:K2"/>
    <mergeCell ref="L2:M2"/>
    <mergeCell ref="N2:O2"/>
    <mergeCell ref="P2:Q2"/>
    <mergeCell ref="T2:U2"/>
    <mergeCell ref="E3:E6"/>
    <mergeCell ref="F3:F6"/>
    <mergeCell ref="G3:J3"/>
    <mergeCell ref="K3:K6"/>
    <mergeCell ref="L3:L6"/>
    <mergeCell ref="M3:M6"/>
    <mergeCell ref="N3:N6"/>
    <mergeCell ref="O3:O6"/>
    <mergeCell ref="G4:H4"/>
    <mergeCell ref="I4:J4"/>
    <mergeCell ref="G5:G6"/>
    <mergeCell ref="I5:I6"/>
    <mergeCell ref="R2:S2"/>
    <mergeCell ref="P3:P6"/>
    <mergeCell ref="Q3:Q6"/>
    <mergeCell ref="R3:R6"/>
    <mergeCell ref="S3:S6"/>
    <mergeCell ref="T3:U3"/>
    <mergeCell ref="T31:U31"/>
    <mergeCell ref="T7:U7"/>
    <mergeCell ref="T16:U16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A78:D78"/>
    <mergeCell ref="G78:K78"/>
    <mergeCell ref="T78:U78"/>
    <mergeCell ref="T32:U32"/>
    <mergeCell ref="T33:U33"/>
    <mergeCell ref="T34:U34"/>
    <mergeCell ref="T72:U72"/>
    <mergeCell ref="A74:D74"/>
    <mergeCell ref="G74:K74"/>
    <mergeCell ref="T74:U74"/>
  </mergeCells>
  <pageMargins left="0.43307086614173229" right="0.43307086614173229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cktc1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Khanh</dc:creator>
  <cp:lastModifiedBy>Tran Khanh</cp:lastModifiedBy>
  <cp:lastPrinted>2026-10-12T03:40:25Z</cp:lastPrinted>
  <dcterms:created xsi:type="dcterms:W3CDTF">2026-10-12T03:37:03Z</dcterms:created>
  <dcterms:modified xsi:type="dcterms:W3CDTF">2026-10-12T07:35:20Z</dcterms:modified>
</cp:coreProperties>
</file>